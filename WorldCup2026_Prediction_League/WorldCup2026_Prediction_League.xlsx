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Play" sheetId="1" r:id="rId5"/>
    <sheet state="visible" name="Standings" sheetId="2" r:id="rId6"/>
    <sheet state="visible" name="Group Stage" sheetId="3" r:id="rId7"/>
    <sheet state="visible" name="Knockout" sheetId="4" r:id="rId8"/>
    <sheet state="visible" name="Bonus Calls" sheetId="5" r:id="rId9"/>
    <sheet state="visible" name="Leaderboard" sheetId="6" r:id="rId10"/>
  </sheets>
  <definedNames/>
  <calcPr/>
</workbook>
</file>

<file path=xl/sharedStrings.xml><?xml version="1.0" encoding="utf-8"?>
<sst xmlns="http://schemas.openxmlformats.org/spreadsheetml/2006/main" count="895" uniqueCount="263">
  <si>
    <t>⚽  2026 WORLD CUP — PREDICTION LEAGUE  (PRO RULES)</t>
  </si>
  <si>
    <t>Ganesh • Siddhesh • Aniket        USA · Canada · Mexico  ·  June 11 – July 19, 2026</t>
  </si>
  <si>
    <t>HOW IT WORKS</t>
  </si>
  <si>
    <t>The idea</t>
  </si>
  <si>
    <t>Before each match, all three of you type your predicted scoreline. Once the real result is in, points are awarded automatically.</t>
  </si>
  <si>
    <t>Where to play</t>
  </si>
  <si>
    <t>The 'Group Stage' tab lists all 72 matches in DATE ORDER, each with its kickoff time and venue, so upcoming games are easy to find. Fill your two numbers per match.</t>
  </si>
  <si>
    <t>Times</t>
  </si>
  <si>
    <t>All kickoff times are US Eastern (ET). In Dallas you're Central — subtract 1 hour (a 3:00 PM ET game starts 2:00 PM your time).</t>
  </si>
  <si>
    <t>Standings</t>
  </si>
  <si>
    <t>The 'Leaderboard' tab tallies everything live.</t>
  </si>
  <si>
    <t>SCORING — tiers</t>
  </si>
  <si>
    <t>Result</t>
  </si>
  <si>
    <t>Points</t>
  </si>
  <si>
    <t>Exact scoreline</t>
  </si>
  <si>
    <t>5 pts — dead on (said 2–1, finished 2–1).</t>
  </si>
  <si>
    <t>Right result + right goal difference</t>
  </si>
  <si>
    <t>4 pts — correct winner AND margin (said 2–0, finished 3–1).</t>
  </si>
  <si>
    <t>Right result only</t>
  </si>
  <si>
    <t>3 pts — correct winner/draw, wrong margin.</t>
  </si>
  <si>
    <t>Wrong</t>
  </si>
  <si>
    <t>0 pts.</t>
  </si>
  <si>
    <t>No prediction on a played match</t>
  </si>
  <si>
    <t>–1 pt — show up or get docked.</t>
  </si>
  <si>
    <t>THE JOKER</t>
  </si>
  <si>
    <t>What it is</t>
  </si>
  <si>
    <t>You each get 8 Jokers for the whole tournament. Put a capital 'J' in your Joker column on a match and your points there DOUBLE. Active Jokers light up gold.</t>
  </si>
  <si>
    <t>The catch</t>
  </si>
  <si>
    <t>Jokers only double positive scores. The Leaderboard tracks usage and turns RED if you blow your budget.</t>
  </si>
  <si>
    <t>BONUS CALLS</t>
  </si>
  <si>
    <t>Lock in Day 1</t>
  </si>
  <si>
    <t>On the 'Bonus Calls' tab you each pick the champion, top scorer, best player and more — up to 25 pts each. They settle at the end and can swing the title.</t>
  </si>
  <si>
    <t>STRICT MODE</t>
  </si>
  <si>
    <t>Lock before kickoff</t>
  </si>
  <si>
    <t>Scorekeeper puts 'L' in the Lock column at kickoff; locked rows go grey. No edits after.</t>
  </si>
  <si>
    <t>Miss = penalty</t>
  </si>
  <si>
    <t>Skip a played match, lose a point.</t>
  </si>
  <si>
    <t>One scorekeeper</t>
  </si>
  <si>
    <t>One person enters real results (gold columns).</t>
  </si>
  <si>
    <t>Tie-break</t>
  </si>
  <si>
    <t>total → most exact (5pt) → Jokers landed → sudden-death predict-off.</t>
  </si>
  <si>
    <t>STAKES</t>
  </si>
  <si>
    <t>Loser pays</t>
  </si>
  <si>
    <t>Bottom of the table buys dinner / runs the next gym setup / owns the bragging rights. Agree before kickoff. 😏</t>
  </si>
  <si>
    <t>KNOCKOUT STAGE</t>
  </si>
  <si>
    <t>Auto-fills</t>
  </si>
  <si>
    <t>Once the groups finish, the 'Knockout' tab fills its team names, dates and scores automatically from the results (the data source handles who advances, including the 8 best third-place teams). Then you predict each knockout scoreline with the same rules. Use the full-time score (if a game goes to penalties, the scoreline is the goals, not the shootout).</t>
  </si>
  <si>
    <t>Standings tab</t>
  </si>
  <si>
    <t>Shows all 12 group tables live from the scores so you can see who's advancing as results come in.</t>
  </si>
  <si>
    <t>📊  GROUP STANDINGS — updates live from the scores</t>
  </si>
  <si>
    <t>Green = advancing (top 2).  Yellow = 3rd place (may still qualify as one of the 8 best). Ranked by Pts → GD → GF; rare exact ties may need a manual head-to-head check.</t>
  </si>
  <si>
    <t>GROUP A</t>
  </si>
  <si>
    <t>Pos</t>
  </si>
  <si>
    <t>Team</t>
  </si>
  <si>
    <t>Pld</t>
  </si>
  <si>
    <t>W</t>
  </si>
  <si>
    <t>D</t>
  </si>
  <si>
    <t>L</t>
  </si>
  <si>
    <t>GF</t>
  </si>
  <si>
    <t>GA</t>
  </si>
  <si>
    <t>GD</t>
  </si>
  <si>
    <t>Pts</t>
  </si>
  <si>
    <t>Mexico</t>
  </si>
  <si>
    <t>South Korea</t>
  </si>
  <si>
    <t>Czechia</t>
  </si>
  <si>
    <t>South Africa</t>
  </si>
  <si>
    <t>GROUP B</t>
  </si>
  <si>
    <t>Canada</t>
  </si>
  <si>
    <t>Bosnia-Herzegovina</t>
  </si>
  <si>
    <t>Qatar</t>
  </si>
  <si>
    <t>Switzerland</t>
  </si>
  <si>
    <t>GROUP C</t>
  </si>
  <si>
    <t>Brazil</t>
  </si>
  <si>
    <t>Morocco</t>
  </si>
  <si>
    <t>Scotland</t>
  </si>
  <si>
    <t>Haiti</t>
  </si>
  <si>
    <t>GROUP D</t>
  </si>
  <si>
    <t>United States</t>
  </si>
  <si>
    <t>Paraguay</t>
  </si>
  <si>
    <t>Australia</t>
  </si>
  <si>
    <t>Türkiye</t>
  </si>
  <si>
    <t>GROUP E</t>
  </si>
  <si>
    <t>Germany</t>
  </si>
  <si>
    <t>Curaçao</t>
  </si>
  <si>
    <t>Ivory Coast</t>
  </si>
  <si>
    <t>Ecuador</t>
  </si>
  <si>
    <t>GROUP F</t>
  </si>
  <si>
    <t>Netherlands</t>
  </si>
  <si>
    <t>Japan</t>
  </si>
  <si>
    <t>Tunisia</t>
  </si>
  <si>
    <t>Sweden</t>
  </si>
  <si>
    <t>GROUP G</t>
  </si>
  <si>
    <t>Belgium</t>
  </si>
  <si>
    <t>Egypt</t>
  </si>
  <si>
    <t>Iran</t>
  </si>
  <si>
    <t>New Zealand</t>
  </si>
  <si>
    <t>GROUP H</t>
  </si>
  <si>
    <t>Spain</t>
  </si>
  <si>
    <t>Cape Verde</t>
  </si>
  <si>
    <t>Saudi Arabia</t>
  </si>
  <si>
    <t>Uruguay</t>
  </si>
  <si>
    <t>GROUP I</t>
  </si>
  <si>
    <t>France</t>
  </si>
  <si>
    <t>Senegal</t>
  </si>
  <si>
    <t>Norway</t>
  </si>
  <si>
    <t>Iraq</t>
  </si>
  <si>
    <t>GROUP J</t>
  </si>
  <si>
    <t>Argentina</t>
  </si>
  <si>
    <t>Algeria</t>
  </si>
  <si>
    <t>Austria</t>
  </si>
  <si>
    <t>Jordan</t>
  </si>
  <si>
    <t>GROUP K</t>
  </si>
  <si>
    <t>Portugal</t>
  </si>
  <si>
    <t>DR Congo</t>
  </si>
  <si>
    <t>Uzbekistan</t>
  </si>
  <si>
    <t>Colombia</t>
  </si>
  <si>
    <t>GROUP L</t>
  </si>
  <si>
    <t>England</t>
  </si>
  <si>
    <t>Croatia</t>
  </si>
  <si>
    <t>Panama</t>
  </si>
  <si>
    <t>Ghana</t>
  </si>
  <si>
    <t>GROUP STAGE — 72 matches in date order · predict every scoreline · 'J' = Joker (doubles points) · times in CT</t>
  </si>
  <si>
    <t>MATCH</t>
  </si>
  <si>
    <t>ACTUAL</t>
  </si>
  <si>
    <t>GANESH</t>
  </si>
  <si>
    <t>SIDDHESH</t>
  </si>
  <si>
    <t>ANIKET</t>
  </si>
  <si>
    <t>#</t>
  </si>
  <si>
    <t>Date</t>
  </si>
  <si>
    <t>KO (CT)</t>
  </si>
  <si>
    <t>Grp</t>
  </si>
  <si>
    <t>Home</t>
  </si>
  <si>
    <t>Away</t>
  </si>
  <si>
    <t>Lock</t>
  </si>
  <si>
    <t>Act H</t>
  </si>
  <si>
    <t>Act A</t>
  </si>
  <si>
    <t>G H</t>
  </si>
  <si>
    <t>G A</t>
  </si>
  <si>
    <t>Jk</t>
  </si>
  <si>
    <t>G Pts</t>
  </si>
  <si>
    <t>S H</t>
  </si>
  <si>
    <t>S A</t>
  </si>
  <si>
    <t>S Pts</t>
  </si>
  <si>
    <t>A H</t>
  </si>
  <si>
    <t>A A</t>
  </si>
  <si>
    <t>A Pts</t>
  </si>
  <si>
    <t>Venue</t>
  </si>
  <si>
    <t>Thu, Jun 11</t>
  </si>
  <si>
    <t>14:00</t>
  </si>
  <si>
    <t>A</t>
  </si>
  <si>
    <t>Estadio Azteca, Mexico City</t>
  </si>
  <si>
    <t>21:00</t>
  </si>
  <si>
    <t>Estadio Akron, Guadalajara</t>
  </si>
  <si>
    <t>Fri, Jun 12</t>
  </si>
  <si>
    <t>B</t>
  </si>
  <si>
    <t>BMO Field, Toronto</t>
  </si>
  <si>
    <t>20:00</t>
  </si>
  <si>
    <t>SoFi Stadium, Inglewood</t>
  </si>
  <si>
    <t>23:00</t>
  </si>
  <si>
    <t>BC Place, Vancouver</t>
  </si>
  <si>
    <t>Sat, Jun 13</t>
  </si>
  <si>
    <t>13:00</t>
  </si>
  <si>
    <t>Levi's Stadium, Santa Clara</t>
  </si>
  <si>
    <t>16:00</t>
  </si>
  <si>
    <t>C</t>
  </si>
  <si>
    <t>MetLife Stadium, East Rutherford</t>
  </si>
  <si>
    <t>Gillette Stadium, Foxboro</t>
  </si>
  <si>
    <t>Sun, Jun 14</t>
  </si>
  <si>
    <t>12:00</t>
  </si>
  <si>
    <t>E</t>
  </si>
  <si>
    <t>J</t>
  </si>
  <si>
    <t>NRG Stadium, Houston</t>
  </si>
  <si>
    <t>15:00</t>
  </si>
  <si>
    <t>F</t>
  </si>
  <si>
    <t>AT&amp;T Stadium, Arlington</t>
  </si>
  <si>
    <t>18:00</t>
  </si>
  <si>
    <t>Lincoln Financial Field, Philadelphia</t>
  </si>
  <si>
    <t>Estadio BBVA, Monterrey</t>
  </si>
  <si>
    <t>Mon, Jun 15</t>
  </si>
  <si>
    <t>11:00</t>
  </si>
  <si>
    <t>H</t>
  </si>
  <si>
    <t>Mercedes-Benz Stadium, Atlanta</t>
  </si>
  <si>
    <t>G</t>
  </si>
  <si>
    <t>Lumen Field, Seattle</t>
  </si>
  <si>
    <t>17:00</t>
  </si>
  <si>
    <t>Hard Rock Stadium, Miami</t>
  </si>
  <si>
    <t>Tue, Jun 16</t>
  </si>
  <si>
    <t>I</t>
  </si>
  <si>
    <t>Gillette Stadium, Foxborough</t>
  </si>
  <si>
    <t>Arrowhead Stadium, Kansas City</t>
  </si>
  <si>
    <t>Wed, Jun 17</t>
  </si>
  <si>
    <t>K</t>
  </si>
  <si>
    <t>Thu, Jun 18</t>
  </si>
  <si>
    <t>Fri, Jun 19</t>
  </si>
  <si>
    <t>19:30</t>
  </si>
  <si>
    <t>22:00</t>
  </si>
  <si>
    <t>Sat, Jun 20</t>
  </si>
  <si>
    <t>19:00</t>
  </si>
  <si>
    <t>Sun, Jun 21</t>
  </si>
  <si>
    <t>Mon, Jun 22</t>
  </si>
  <si>
    <t>Tue, Jun 23</t>
  </si>
  <si>
    <t>Wed, Jun 24</t>
  </si>
  <si>
    <t>Thu, Jun 25</t>
  </si>
  <si>
    <t>Fri, Jun 26</t>
  </si>
  <si>
    <t>Sat, Jun 27</t>
  </si>
  <si>
    <t>18:30</t>
  </si>
  <si>
    <t>KNOCKOUT STAGE — teams, dates &amp; scores auto-fill from results · then predict each scoreline (same rules, 'J' = Joker)</t>
  </si>
  <si>
    <t>Round</t>
  </si>
  <si>
    <t>Date (auto)</t>
  </si>
  <si>
    <t>Stg</t>
  </si>
  <si>
    <t>Round of 32</t>
  </si>
  <si>
    <t>R32</t>
  </si>
  <si>
    <t>Round of 16</t>
  </si>
  <si>
    <t>R16</t>
  </si>
  <si>
    <t>Quarter-final</t>
  </si>
  <si>
    <t>QF</t>
  </si>
  <si>
    <t>Semi-final</t>
  </si>
  <si>
    <t>SF</t>
  </si>
  <si>
    <t>3rd place</t>
  </si>
  <si>
    <t>3P</t>
  </si>
  <si>
    <t>FINAL</t>
  </si>
  <si>
    <t>🎯  BONUS CALLS — lock in on Day 1, settled at the end</t>
  </si>
  <si>
    <t>Fill your pick. The ✓ columns auto-validate against World Cup results (see rows 18–24 below). Only rows 21–23 need manual input after the tournament.</t>
  </si>
  <si>
    <t>Bonus Call</t>
  </si>
  <si>
    <t>Ganesh — pick</t>
  </si>
  <si>
    <t>✓</t>
  </si>
  <si>
    <t>Siddhesh — pick</t>
  </si>
  <si>
    <t>Aniket — pick</t>
  </si>
  <si>
    <t>World Cup Winner</t>
  </si>
  <si>
    <t>Runner-up</t>
  </si>
  <si>
    <t>Third place</t>
  </si>
  <si>
    <t>Golden Boot (top scorer)</t>
  </si>
  <si>
    <t>Harry Kane</t>
  </si>
  <si>
    <t>Haaland</t>
  </si>
  <si>
    <t>Mbappe</t>
  </si>
  <si>
    <t>Golden Ball (best player)</t>
  </si>
  <si>
    <t>Pedri</t>
  </si>
  <si>
    <t>Bruno Fernandes</t>
  </si>
  <si>
    <t>Yamal</t>
  </si>
  <si>
    <t>Surprise team — unseeded side to reach the Quarter-finals</t>
  </si>
  <si>
    <t>Will the USA escape the group? (Yes / No)</t>
  </si>
  <si>
    <t>Yes</t>
  </si>
  <si>
    <t>BONUS POINTS EARNED</t>
  </si>
  <si>
    <t>ACTUAL RESULTS</t>
  </si>
  <si>
    <t>(auto from World Cup data — only 3 manual inputs needed)</t>
  </si>
  <si>
    <t>&gt;&gt;&gt; TYPE PLAYER NAME HERE after tournament &lt;&lt;&lt;</t>
  </si>
  <si>
    <t>Surprise team (QF)</t>
  </si>
  <si>
    <t>&gt;&gt;&gt; TYPE TEAM NAME HERE after Quarter-finals &lt;&lt;&lt;</t>
  </si>
  <si>
    <t>USA escaped group? (Yes/No)</t>
  </si>
  <si>
    <t>🏆  LEADERBOARD</t>
  </si>
  <si>
    <t>Whole tournament — Group + Knockout + Bonus. Jokers tracked across both stages.</t>
  </si>
  <si>
    <t>Rank</t>
  </si>
  <si>
    <t>Player</t>
  </si>
  <si>
    <t>Total</t>
  </si>
  <si>
    <t>Group</t>
  </si>
  <si>
    <t>Knockout</t>
  </si>
  <si>
    <t>Bonus</t>
  </si>
  <si>
    <t>Exact (5)</t>
  </si>
  <si>
    <t>Jokers used</t>
  </si>
  <si>
    <t>Ganesh</t>
  </si>
  <si>
    <t>Siddhesh</t>
  </si>
  <si>
    <t>Aniket</t>
  </si>
  <si>
    <t>Jokers: 8 for the whole tournament (use across Group + Knockout). Tie-break: total → exact (5pt) → Jokers landed → predict-off.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</si>
</sst>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 mmm d"/>
  </numFmts>
  <fonts count="30">
    <font>
      <sz val="11.0"/>
      <color theme="1"/>
      <name val="Calibri"/>
      <scheme val="minor"/>
    </font>
    <font>
      <sz val="11.0"/>
      <color theme="1"/>
      <name val="Calibri"/>
    </font>
    <font>
      <b/>
      <sz val="16.0"/>
      <color rgb="FFFFFFFF"/>
      <name val="Arial"/>
    </font>
    <font/>
    <font>
      <b/>
      <sz val="10.0"/>
      <color rgb="FF1A2238"/>
      <name val="Arial"/>
    </font>
    <font>
      <b/>
      <sz val="12.0"/>
      <color rgb="FFFFFFFF"/>
      <name val="Arial"/>
    </font>
    <font>
      <sz val="10.0"/>
      <color rgb="FF000000"/>
      <name val="Arial"/>
    </font>
    <font>
      <b/>
      <sz val="10.0"/>
      <color rgb="FFFFFFFF"/>
      <name val="Arial"/>
    </font>
    <font>
      <b/>
      <sz val="14.0"/>
      <color rgb="FFFFFFFF"/>
      <name val="Arial"/>
    </font>
    <font>
      <sz val="9.0"/>
      <color rgb="FF1A2238"/>
      <name val="Arial"/>
    </font>
    <font>
      <b/>
      <sz val="11.0"/>
      <color rgb="FFFFFFFF"/>
      <name val="Arial"/>
    </font>
    <font>
      <b/>
      <sz val="9.0"/>
      <color rgb="FF1A2238"/>
      <name val="Arial"/>
    </font>
    <font>
      <b/>
      <sz val="9.0"/>
      <color rgb="FFFFFFFF"/>
      <name val="Arial"/>
    </font>
    <font>
      <sz val="9.0"/>
      <color rgb="FF000000"/>
      <name val="Arial"/>
    </font>
    <font>
      <sz val="9.0"/>
      <color rgb="FFC0392B"/>
      <name val="Arial"/>
    </font>
    <font>
      <b/>
      <sz val="9.0"/>
      <color rgb="FF4F7942"/>
      <name val="Arial"/>
    </font>
    <font>
      <b/>
      <sz val="9.0"/>
      <color rgb="FF3A5BA0"/>
      <name val="Arial"/>
    </font>
    <font>
      <b/>
      <sz val="9.0"/>
      <color rgb="FFB5712E"/>
      <name val="Arial"/>
    </font>
    <font>
      <sz val="8.0"/>
      <color rgb="FF555555"/>
      <name val="Arial"/>
    </font>
    <font>
      <sz val="8.0"/>
      <color rgb="FF888888"/>
      <name val="Arial"/>
    </font>
    <font>
      <b/>
      <sz val="15.0"/>
      <color rgb="FFFFFFFF"/>
      <name val="Arial"/>
    </font>
    <font>
      <sz val="10.0"/>
      <color rgb="FF1A2238"/>
      <name val="Arial"/>
    </font>
    <font>
      <b/>
      <sz val="11.0"/>
      <color rgb="FF1A2238"/>
      <name val="Arial"/>
    </font>
    <font>
      <b/>
      <sz val="12.0"/>
      <color rgb="FF1A2238"/>
      <name val="Arial"/>
    </font>
    <font>
      <b/>
      <sz val="18.0"/>
      <color rgb="FFFFFFFF"/>
      <name val="Arial"/>
    </font>
    <font>
      <b/>
      <sz val="14.0"/>
      <color rgb="FF1A2238"/>
      <name val="Arial"/>
    </font>
    <font>
      <sz val="11.0"/>
      <color rgb="FF000000"/>
      <name val="Arial"/>
    </font>
    <font>
      <b/>
      <sz val="11.0"/>
      <color rgb="FF000000"/>
      <name val="Arial"/>
    </font>
    <font>
      <b/>
      <sz val="13.0"/>
      <color rgb="FF1A2238"/>
      <name val="Arial"/>
    </font>
    <font>
      <sz val="9.0"/>
      <color rgb="FF666666"/>
      <name val="Arial"/>
    </font>
  </fonts>
  <fills count="20">
    <fill>
      <patternFill patternType="none"/>
    </fill>
    <fill>
      <patternFill patternType="lightGray"/>
    </fill>
    <fill>
      <patternFill patternType="solid">
        <fgColor rgb="FF1A2238"/>
        <bgColor rgb="FF1A2238"/>
      </patternFill>
    </fill>
    <fill>
      <patternFill patternType="solid">
        <fgColor rgb="FFF4E9C1"/>
        <bgColor rgb="FFF4E9C1"/>
      </patternFill>
    </fill>
    <fill>
      <patternFill patternType="solid">
        <fgColor rgb="FFC9A227"/>
        <bgColor rgb="FFC9A227"/>
      </patternFill>
    </fill>
    <fill>
      <patternFill patternType="solid">
        <fgColor rgb="FFFAFAF7"/>
        <bgColor rgb="FFFAFAF7"/>
      </patternFill>
    </fill>
    <fill>
      <patternFill patternType="solid">
        <fgColor rgb="FF3C4A66"/>
        <bgColor rgb="FF3C4A66"/>
      </patternFill>
    </fill>
    <fill>
      <patternFill patternType="solid">
        <fgColor rgb="FF4F7942"/>
        <bgColor rgb="FF4F7942"/>
      </patternFill>
    </fill>
    <fill>
      <patternFill patternType="solid">
        <fgColor rgb="FF3A5BA0"/>
        <bgColor rgb="FF3A5BA0"/>
      </patternFill>
    </fill>
    <fill>
      <patternFill patternType="solid">
        <fgColor rgb="FFB5712E"/>
        <bgColor rgb="FFB5712E"/>
      </patternFill>
    </fill>
    <fill>
      <patternFill patternType="solid">
        <fgColor rgb="FFF6EEF0"/>
        <bgColor rgb="FFF6EEF0"/>
      </patternFill>
    </fill>
    <fill>
      <patternFill patternType="solid">
        <fgColor rgb="FFDCE9DA"/>
        <bgColor rgb="FFDCE9DA"/>
      </patternFill>
    </fill>
    <fill>
      <patternFill patternType="solid">
        <fgColor rgb="FFBFE0B6"/>
        <bgColor rgb="FFBFE0B6"/>
      </patternFill>
    </fill>
    <fill>
      <patternFill patternType="solid">
        <fgColor rgb="FFFFFFFF"/>
        <bgColor rgb="FFFFFFFF"/>
      </patternFill>
    </fill>
    <fill>
      <patternFill patternType="solid">
        <fgColor rgb="FFDCE3F0"/>
        <bgColor rgb="FFDCE3F0"/>
      </patternFill>
    </fill>
    <fill>
      <patternFill patternType="solid">
        <fgColor rgb="FFBCCDEC"/>
        <bgColor rgb="FFBCCDEC"/>
      </patternFill>
    </fill>
    <fill>
      <patternFill patternType="solid">
        <fgColor rgb="FFF2E3D6"/>
        <bgColor rgb="FFF2E3D6"/>
      </patternFill>
    </fill>
    <fill>
      <patternFill patternType="solid">
        <fgColor rgb="FFE8C9A6"/>
        <bgColor rgb="FFE8C9A6"/>
      </patternFill>
    </fill>
    <fill>
      <patternFill patternType="solid">
        <fgColor rgb="FFEAF1F7"/>
        <bgColor rgb="FFEAF1F7"/>
      </patternFill>
    </fill>
    <fill>
      <patternFill patternType="solid">
        <fgColor rgb="FFD9D9D9"/>
        <bgColor rgb="FFD9D9D9"/>
      </patternFill>
    </fill>
  </fills>
  <borders count="9">
    <border/>
    <border>
      <left/>
      <top/>
      <bottom/>
    </border>
    <border>
      <right/>
      <top/>
      <bottom/>
    </border>
    <border>
      <left/>
      <right/>
      <top/>
      <bottom/>
    </border>
    <border>
      <left style="thin">
        <color rgb="FFD0D0D0"/>
      </left>
      <right style="thin">
        <color rgb="FFD0D0D0"/>
      </right>
      <top style="thin">
        <color rgb="FFD0D0D0"/>
      </top>
      <bottom style="thin">
        <color rgb="FFD0D0D0"/>
      </bottom>
    </border>
    <border>
      <top/>
      <bottom/>
    </border>
    <border>
      <left style="thin">
        <color rgb="FFD0D0D0"/>
      </left>
      <top style="thin">
        <color rgb="FFD0D0D0"/>
      </top>
      <bottom style="thin">
        <color rgb="FFD0D0D0"/>
      </bottom>
    </border>
    <border>
      <top style="thin">
        <color rgb="FFD0D0D0"/>
      </top>
      <bottom style="thin">
        <color rgb="FFD0D0D0"/>
      </bottom>
    </border>
    <border>
      <right/>
      <top style="thin">
        <color rgb="FFD0D0D0"/>
      </top>
      <bottom style="thin">
        <color rgb="FFD0D0D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left" shrinkToFit="0" vertical="center" wrapText="0"/>
    </xf>
    <xf borderId="2" fillId="0" fontId="3" numFmtId="0" xfId="0" applyBorder="1" applyFont="1"/>
    <xf borderId="1" fillId="3" fontId="4" numFmtId="0" xfId="0" applyAlignment="1" applyBorder="1" applyFill="1" applyFont="1">
      <alignment horizontal="left" shrinkToFit="0" vertical="center" wrapText="0"/>
    </xf>
    <xf borderId="1" fillId="4" fontId="5" numFmtId="0" xfId="0" applyAlignment="1" applyBorder="1" applyFill="1" applyFont="1">
      <alignment horizontal="left" shrinkToFit="0" vertical="center" wrapText="0"/>
    </xf>
    <xf borderId="3" fillId="5" fontId="4" numFmtId="0" xfId="0" applyAlignment="1" applyBorder="1" applyFill="1" applyFont="1">
      <alignment horizontal="left" shrinkToFit="0" vertical="center" wrapText="1"/>
    </xf>
    <xf borderId="3" fillId="5" fontId="6" numFmtId="0" xfId="0" applyAlignment="1" applyBorder="1" applyFont="1">
      <alignment horizontal="left" shrinkToFit="0" vertical="center" wrapText="1"/>
    </xf>
    <xf borderId="3" fillId="2" fontId="7" numFmtId="0" xfId="0" applyAlignment="1" applyBorder="1" applyFont="1">
      <alignment horizontal="left" shrinkToFit="0" vertical="center" wrapText="0"/>
    </xf>
    <xf borderId="4" fillId="3" fontId="4" numFmtId="0" xfId="0" applyAlignment="1" applyBorder="1" applyFont="1">
      <alignment horizontal="left" shrinkToFit="0" vertical="center" wrapText="1"/>
    </xf>
    <xf borderId="4" fillId="5" fontId="6" numFmtId="0" xfId="0" applyAlignment="1" applyBorder="1" applyFont="1">
      <alignment horizontal="left" shrinkToFit="0" vertical="center" wrapText="1"/>
    </xf>
    <xf borderId="1" fillId="2" fontId="8" numFmtId="0" xfId="0" applyAlignment="1" applyBorder="1" applyFont="1">
      <alignment horizontal="left" shrinkToFit="0" vertical="center" wrapText="0"/>
    </xf>
    <xf borderId="5" fillId="0" fontId="3" numFmtId="0" xfId="0" applyBorder="1" applyFont="1"/>
    <xf borderId="1" fillId="3" fontId="9" numFmtId="0" xfId="0" applyAlignment="1" applyBorder="1" applyFont="1">
      <alignment horizontal="left" shrinkToFit="0" vertical="center" wrapText="0"/>
    </xf>
    <xf borderId="6" fillId="6" fontId="10" numFmtId="0" xfId="0" applyAlignment="1" applyBorder="1" applyFill="1" applyFont="1">
      <alignment horizontal="left" shrinkToFit="0" vertical="center" wrapText="0"/>
    </xf>
    <xf borderId="7" fillId="0" fontId="3" numFmtId="0" xfId="0" applyBorder="1" applyFont="1"/>
    <xf borderId="8" fillId="0" fontId="3" numFmtId="0" xfId="0" applyBorder="1" applyFont="1"/>
    <xf borderId="4" fillId="5" fontId="11" numFmtId="0" xfId="0" applyAlignment="1" applyBorder="1" applyFont="1">
      <alignment horizontal="center" shrinkToFit="0" vertical="center" wrapText="0"/>
    </xf>
    <xf borderId="4" fillId="0" fontId="6" numFmtId="0" xfId="0" applyAlignment="1" applyBorder="1" applyFont="1">
      <alignment horizontal="center" shrinkToFit="0" vertical="center" wrapText="0"/>
    </xf>
    <xf borderId="4" fillId="0" fontId="6" numFmtId="0" xfId="0" applyAlignment="1" applyBorder="1" applyFont="1">
      <alignment horizontal="left" shrinkToFit="0" vertical="center" wrapText="0"/>
    </xf>
    <xf borderId="1" fillId="2" fontId="5" numFmtId="0" xfId="0" applyAlignment="1" applyBorder="1" applyFont="1">
      <alignment horizontal="left" readingOrder="0" shrinkToFit="0" vertical="center" wrapText="0"/>
    </xf>
    <xf borderId="6" fillId="2" fontId="7" numFmtId="0" xfId="0" applyAlignment="1" applyBorder="1" applyFont="1">
      <alignment horizontal="center" shrinkToFit="0" vertical="center" wrapText="0"/>
    </xf>
    <xf borderId="6" fillId="4" fontId="4" numFmtId="0" xfId="0" applyAlignment="1" applyBorder="1" applyFont="1">
      <alignment horizontal="center" shrinkToFit="0" vertical="center" wrapText="0"/>
    </xf>
    <xf borderId="6" fillId="7" fontId="7" numFmtId="0" xfId="0" applyAlignment="1" applyBorder="1" applyFill="1" applyFont="1">
      <alignment horizontal="center" shrinkToFit="0" vertical="center" wrapText="0"/>
    </xf>
    <xf borderId="6" fillId="8" fontId="7" numFmtId="0" xfId="0" applyAlignment="1" applyBorder="1" applyFill="1" applyFont="1">
      <alignment horizontal="center" shrinkToFit="0" vertical="center" wrapText="0"/>
    </xf>
    <xf borderId="6" fillId="9" fontId="7" numFmtId="0" xfId="0" applyAlignment="1" applyBorder="1" applyFill="1" applyFont="1">
      <alignment horizontal="center" shrinkToFit="0" vertical="center" wrapText="0"/>
    </xf>
    <xf borderId="4" fillId="2" fontId="6" numFmtId="0" xfId="0" applyAlignment="1" applyBorder="1" applyFont="1">
      <alignment horizontal="center" shrinkToFit="0" vertical="center" wrapText="0"/>
    </xf>
    <xf borderId="4" fillId="6" fontId="12" numFmtId="0" xfId="0" applyAlignment="1" applyBorder="1" applyFont="1">
      <alignment horizontal="center" shrinkToFit="0" vertical="center" wrapText="0"/>
    </xf>
    <xf borderId="4" fillId="6" fontId="12" numFmtId="0" xfId="0" applyAlignment="1" applyBorder="1" applyFont="1">
      <alignment horizontal="center" readingOrder="0" shrinkToFit="0" vertical="center" wrapText="0"/>
    </xf>
    <xf borderId="4" fillId="10" fontId="13" numFmtId="0" xfId="0" applyAlignment="1" applyBorder="1" applyFill="1" applyFont="1">
      <alignment horizontal="center" shrinkToFit="0" vertical="center" wrapText="0"/>
    </xf>
    <xf borderId="4" fillId="10" fontId="9" numFmtId="49" xfId="0" applyAlignment="1" applyBorder="1" applyFont="1" applyNumberFormat="1">
      <alignment horizontal="center" readingOrder="0" shrinkToFit="0" vertical="center" wrapText="0"/>
    </xf>
    <xf borderId="4" fillId="10" fontId="13" numFmtId="49" xfId="0" applyAlignment="1" applyBorder="1" applyFont="1" applyNumberFormat="1">
      <alignment horizontal="center" readingOrder="0" shrinkToFit="0" vertical="center" wrapText="0"/>
    </xf>
    <xf borderId="4" fillId="10" fontId="11" numFmtId="0" xfId="0" applyAlignment="1" applyBorder="1" applyFont="1">
      <alignment horizontal="center" shrinkToFit="0" vertical="center" wrapText="0"/>
    </xf>
    <xf borderId="4" fillId="10" fontId="6" numFmtId="0" xfId="0" applyAlignment="1" applyBorder="1" applyFont="1">
      <alignment horizontal="left" shrinkToFit="0" vertical="center" wrapText="0"/>
    </xf>
    <xf borderId="4" fillId="10" fontId="14" numFmtId="0" xfId="0" applyAlignment="1" applyBorder="1" applyFont="1">
      <alignment horizontal="center" readingOrder="0" shrinkToFit="0" vertical="center" wrapText="0"/>
    </xf>
    <xf borderId="4" fillId="3" fontId="4" numFmtId="0" xfId="0" applyAlignment="1" applyBorder="1" applyFont="1">
      <alignment horizontal="center" readingOrder="0" shrinkToFit="0" vertical="center" wrapText="0"/>
    </xf>
    <xf borderId="4" fillId="11" fontId="6" numFmtId="0" xfId="0" applyAlignment="1" applyBorder="1" applyFill="1" applyFont="1">
      <alignment horizontal="center" readingOrder="0" shrinkToFit="0" vertical="center" wrapText="0"/>
    </xf>
    <xf borderId="4" fillId="12" fontId="15" numFmtId="0" xfId="0" applyAlignment="1" applyBorder="1" applyFill="1" applyFont="1">
      <alignment horizontal="center" shrinkToFit="0" vertical="center" wrapText="0"/>
    </xf>
    <xf borderId="4" fillId="13" fontId="4" numFmtId="0" xfId="0" applyAlignment="1" applyBorder="1" applyFill="1" applyFont="1">
      <alignment horizontal="center" shrinkToFit="0" vertical="center" wrapText="0"/>
    </xf>
    <xf borderId="4" fillId="14" fontId="6" numFmtId="0" xfId="0" applyAlignment="1" applyBorder="1" applyFill="1" applyFont="1">
      <alignment horizontal="center" readingOrder="0" shrinkToFit="0" vertical="center" wrapText="0"/>
    </xf>
    <xf borderId="4" fillId="15" fontId="16" numFmtId="0" xfId="0" applyAlignment="1" applyBorder="1" applyFill="1" applyFont="1">
      <alignment horizontal="center" shrinkToFit="0" vertical="center" wrapText="0"/>
    </xf>
    <xf borderId="4" fillId="16" fontId="6" numFmtId="0" xfId="0" applyAlignment="1" applyBorder="1" applyFill="1" applyFont="1">
      <alignment horizontal="center" readingOrder="0" shrinkToFit="0" vertical="center" wrapText="0"/>
    </xf>
    <xf borderId="4" fillId="17" fontId="17" numFmtId="0" xfId="0" applyAlignment="1" applyBorder="1" applyFill="1" applyFont="1">
      <alignment horizontal="center" shrinkToFit="0" vertical="center" wrapText="0"/>
    </xf>
    <xf borderId="4" fillId="10" fontId="18" numFmtId="0" xfId="0" applyAlignment="1" applyBorder="1" applyFont="1">
      <alignment horizontal="left" shrinkToFit="0" vertical="center" wrapText="0"/>
    </xf>
    <xf borderId="4" fillId="18" fontId="13" numFmtId="0" xfId="0" applyAlignment="1" applyBorder="1" applyFill="1" applyFont="1">
      <alignment horizontal="center" shrinkToFit="0" vertical="center" wrapText="0"/>
    </xf>
    <xf borderId="4" fillId="18" fontId="9" numFmtId="49" xfId="0" applyAlignment="1" applyBorder="1" applyFont="1" applyNumberFormat="1">
      <alignment horizontal="center" readingOrder="0" shrinkToFit="0" vertical="center" wrapText="0"/>
    </xf>
    <xf borderId="4" fillId="18" fontId="13" numFmtId="49" xfId="0" applyAlignment="1" applyBorder="1" applyFont="1" applyNumberFormat="1">
      <alignment horizontal="center" readingOrder="0" shrinkToFit="0" vertical="center" wrapText="0"/>
    </xf>
    <xf borderId="4" fillId="18" fontId="11" numFmtId="0" xfId="0" applyAlignment="1" applyBorder="1" applyFont="1">
      <alignment horizontal="center" shrinkToFit="0" vertical="center" wrapText="0"/>
    </xf>
    <xf borderId="4" fillId="18" fontId="6" numFmtId="0" xfId="0" applyAlignment="1" applyBorder="1" applyFont="1">
      <alignment horizontal="left" shrinkToFit="0" vertical="center" wrapText="0"/>
    </xf>
    <xf borderId="4" fillId="18" fontId="14" numFmtId="0" xfId="0" applyAlignment="1" applyBorder="1" applyFont="1">
      <alignment horizontal="center" readingOrder="0" shrinkToFit="0" vertical="center" wrapText="0"/>
    </xf>
    <xf borderId="4" fillId="3" fontId="4" numFmtId="0" xfId="0" applyAlignment="1" applyBorder="1" applyFont="1">
      <alignment horizontal="center" readingOrder="0" shrinkToFit="0" vertical="center" wrapText="0"/>
    </xf>
    <xf borderId="4" fillId="18" fontId="18" numFmtId="0" xfId="0" applyAlignment="1" applyBorder="1" applyFont="1">
      <alignment horizontal="left" shrinkToFit="0" vertical="center" wrapText="0"/>
    </xf>
    <xf borderId="4" fillId="19" fontId="13" numFmtId="0" xfId="0" applyAlignment="1" applyBorder="1" applyFill="1" applyFont="1">
      <alignment horizontal="center" shrinkToFit="0" vertical="center" wrapText="0"/>
    </xf>
    <xf borderId="4" fillId="19" fontId="9" numFmtId="49" xfId="0" applyAlignment="1" applyBorder="1" applyFont="1" applyNumberFormat="1">
      <alignment horizontal="center" readingOrder="0" shrinkToFit="0" vertical="center" wrapText="0"/>
    </xf>
    <xf borderId="4" fillId="19" fontId="13" numFmtId="49" xfId="0" applyAlignment="1" applyBorder="1" applyFont="1" applyNumberFormat="1">
      <alignment horizontal="center" readingOrder="0" shrinkToFit="0" vertical="center" wrapText="0"/>
    </xf>
    <xf borderId="4" fillId="19" fontId="11" numFmtId="0" xfId="0" applyAlignment="1" applyBorder="1" applyFont="1">
      <alignment horizontal="center" shrinkToFit="0" vertical="center" wrapText="0"/>
    </xf>
    <xf borderId="4" fillId="19" fontId="6" numFmtId="0" xfId="0" applyAlignment="1" applyBorder="1" applyFont="1">
      <alignment horizontal="left" shrinkToFit="0" vertical="center" wrapText="0"/>
    </xf>
    <xf borderId="4" fillId="19" fontId="14" numFmtId="0" xfId="0" applyAlignment="1" applyBorder="1" applyFont="1">
      <alignment horizontal="center" readingOrder="0" shrinkToFit="0" vertical="center" wrapText="0"/>
    </xf>
    <xf borderId="4" fillId="19" fontId="4" numFmtId="0" xfId="0" applyAlignment="1" applyBorder="1" applyFont="1">
      <alignment horizontal="center" readingOrder="0" shrinkToFit="0" vertical="center" wrapText="0"/>
    </xf>
    <xf borderId="4" fillId="19" fontId="6" numFmtId="0" xfId="0" applyAlignment="1" applyBorder="1" applyFont="1">
      <alignment horizontal="center" readingOrder="0" shrinkToFit="0" vertical="center" wrapText="0"/>
    </xf>
    <xf borderId="4" fillId="19" fontId="15" numFmtId="0" xfId="0" applyAlignment="1" applyBorder="1" applyFont="1">
      <alignment horizontal="center" readingOrder="0" shrinkToFit="0" vertical="center" wrapText="0"/>
    </xf>
    <xf borderId="4" fillId="19" fontId="4" numFmtId="0" xfId="0" applyAlignment="1" applyBorder="1" applyFont="1">
      <alignment horizontal="center" shrinkToFit="0" vertical="center" wrapText="0"/>
    </xf>
    <xf borderId="4" fillId="19" fontId="16" numFmtId="0" xfId="0" applyAlignment="1" applyBorder="1" applyFont="1">
      <alignment horizontal="center" readingOrder="0" shrinkToFit="0" vertical="center" wrapText="0"/>
    </xf>
    <xf borderId="4" fillId="19" fontId="17" numFmtId="0" xfId="0" applyAlignment="1" applyBorder="1" applyFont="1">
      <alignment horizontal="center" readingOrder="0" shrinkToFit="0" vertical="center" wrapText="0"/>
    </xf>
    <xf borderId="4" fillId="19" fontId="18" numFmtId="0" xfId="0" applyAlignment="1" applyBorder="1" applyFont="1">
      <alignment horizontal="left" shrinkToFit="0" vertical="center" wrapText="0"/>
    </xf>
    <xf borderId="4" fillId="19" fontId="15" numFmtId="0" xfId="0" applyAlignment="1" applyBorder="1" applyFont="1">
      <alignment horizontal="center" shrinkToFit="0" vertical="center" wrapText="0"/>
    </xf>
    <xf borderId="4" fillId="19" fontId="16" numFmtId="0" xfId="0" applyAlignment="1" applyBorder="1" applyFont="1">
      <alignment horizontal="center" shrinkToFit="0" vertical="center" wrapText="0"/>
    </xf>
    <xf borderId="4" fillId="19" fontId="17" numFmtId="0" xfId="0" applyAlignment="1" applyBorder="1" applyFont="1">
      <alignment horizontal="center" shrinkToFit="0" vertical="center" wrapText="0"/>
    </xf>
    <xf borderId="4" fillId="19" fontId="4" numFmtId="0" xfId="0" applyAlignment="1" applyBorder="1" applyFont="1">
      <alignment horizontal="center" readingOrder="0" shrinkToFit="0" vertical="center" wrapText="0"/>
    </xf>
    <xf borderId="4" fillId="10" fontId="14" numFmtId="0" xfId="0" applyAlignment="1" applyBorder="1" applyFont="1">
      <alignment horizontal="center" shrinkToFit="0" vertical="center" wrapText="0"/>
    </xf>
    <xf borderId="4" fillId="3" fontId="4" numFmtId="0" xfId="0" applyAlignment="1" applyBorder="1" applyFont="1">
      <alignment horizontal="center" shrinkToFit="0" vertical="center" wrapText="0"/>
    </xf>
    <xf borderId="4" fillId="18" fontId="14" numFmtId="0" xfId="0" applyAlignment="1" applyBorder="1" applyFont="1">
      <alignment horizontal="center" shrinkToFit="0" vertical="center" wrapText="0"/>
    </xf>
    <xf borderId="4" fillId="11" fontId="6" numFmtId="0" xfId="0" applyAlignment="1" applyBorder="1" applyFont="1">
      <alignment horizontal="center" shrinkToFit="0" vertical="center" wrapText="0"/>
    </xf>
    <xf borderId="4" fillId="14" fontId="6" numFmtId="0" xfId="0" applyAlignment="1" applyBorder="1" applyFont="1">
      <alignment horizontal="center" shrinkToFit="0" vertical="center" wrapText="0"/>
    </xf>
    <xf borderId="4" fillId="16" fontId="6" numFmtId="0" xfId="0" applyAlignment="1" applyBorder="1" applyFont="1">
      <alignment horizontal="center" shrinkToFit="0" vertical="center" wrapText="0"/>
    </xf>
    <xf borderId="1" fillId="2" fontId="5" numFmtId="0" xfId="0" applyAlignment="1" applyBorder="1" applyFont="1">
      <alignment horizontal="left" shrinkToFit="0" vertical="center" wrapText="0"/>
    </xf>
    <xf borderId="4" fillId="10" fontId="9" numFmtId="0" xfId="0" applyAlignment="1" applyBorder="1" applyFont="1">
      <alignment horizontal="center" shrinkToFit="0" vertical="center" wrapText="0"/>
    </xf>
    <xf borderId="4" fillId="10" fontId="9" numFmtId="164" xfId="0" applyAlignment="1" applyBorder="1" applyFont="1" applyNumberFormat="1">
      <alignment horizontal="center" readingOrder="0" shrinkToFit="0" vertical="center" wrapText="0"/>
    </xf>
    <xf borderId="4" fillId="10" fontId="19" numFmtId="0" xfId="0" applyAlignment="1" applyBorder="1" applyFont="1">
      <alignment horizontal="center" shrinkToFit="0" vertical="center" wrapText="0"/>
    </xf>
    <xf borderId="4" fillId="18" fontId="9" numFmtId="0" xfId="0" applyAlignment="1" applyBorder="1" applyFont="1">
      <alignment horizontal="center" shrinkToFit="0" vertical="center" wrapText="0"/>
    </xf>
    <xf borderId="4" fillId="18" fontId="9" numFmtId="164" xfId="0" applyAlignment="1" applyBorder="1" applyFont="1" applyNumberFormat="1">
      <alignment horizontal="center" readingOrder="0" shrinkToFit="0" vertical="center" wrapText="0"/>
    </xf>
    <xf borderId="4" fillId="18" fontId="19" numFmtId="0" xfId="0" applyAlignment="1" applyBorder="1" applyFont="1">
      <alignment horizontal="center" shrinkToFit="0" vertical="center" wrapText="0"/>
    </xf>
    <xf borderId="1" fillId="2" fontId="20" numFmtId="0" xfId="0" applyAlignment="1" applyBorder="1" applyFont="1">
      <alignment horizontal="left" shrinkToFit="0" vertical="center" wrapText="0"/>
    </xf>
    <xf borderId="1" fillId="3" fontId="21" numFmtId="0" xfId="0" applyAlignment="1" applyBorder="1" applyFont="1">
      <alignment horizontal="left" readingOrder="0" shrinkToFit="0" vertical="center" wrapText="0"/>
    </xf>
    <xf borderId="4" fillId="6" fontId="7" numFmtId="0" xfId="0" applyAlignment="1" applyBorder="1" applyFont="1">
      <alignment horizontal="left" shrinkToFit="0" vertical="center" wrapText="0"/>
    </xf>
    <xf borderId="4" fillId="6" fontId="7" numFmtId="0" xfId="0" applyAlignment="1" applyBorder="1" applyFont="1">
      <alignment horizontal="center" shrinkToFit="0" vertical="center" wrapText="0"/>
    </xf>
    <xf borderId="4" fillId="5" fontId="6" numFmtId="0" xfId="0" applyAlignment="1" applyBorder="1" applyFont="1">
      <alignment horizontal="left" shrinkToFit="0" vertical="center" wrapText="0"/>
    </xf>
    <xf borderId="4" fillId="3" fontId="22" numFmtId="0" xfId="0" applyAlignment="1" applyBorder="1" applyFont="1">
      <alignment horizontal="center" shrinkToFit="0" vertical="center" wrapText="0"/>
    </xf>
    <xf borderId="4" fillId="11" fontId="6" numFmtId="0" xfId="0" applyAlignment="1" applyBorder="1" applyFont="1">
      <alignment horizontal="left" readingOrder="0" shrinkToFit="0" vertical="center" wrapText="0"/>
    </xf>
    <xf borderId="4" fillId="13" fontId="6" numFmtId="0" xfId="0" applyAlignment="1" applyBorder="1" applyFont="1">
      <alignment horizontal="center" shrinkToFit="0" vertical="center" wrapText="0"/>
    </xf>
    <xf borderId="4" fillId="14" fontId="6" numFmtId="0" xfId="0" applyAlignment="1" applyBorder="1" applyFont="1">
      <alignment horizontal="left" readingOrder="0" shrinkToFit="0" vertical="center" wrapText="0"/>
    </xf>
    <xf borderId="4" fillId="13" fontId="6" numFmtId="0" xfId="0" applyAlignment="1" applyBorder="1" applyFont="1">
      <alignment horizontal="center" readingOrder="0" shrinkToFit="0" vertical="center" wrapText="0"/>
    </xf>
    <xf borderId="4" fillId="16" fontId="6" numFmtId="0" xfId="0" applyAlignment="1" applyBorder="1" applyFont="1">
      <alignment horizontal="left" readingOrder="0" shrinkToFit="0" vertical="center" wrapText="0"/>
    </xf>
    <xf borderId="4" fillId="2" fontId="10" numFmtId="0" xfId="0" applyAlignment="1" applyBorder="1" applyFont="1">
      <alignment horizontal="left" shrinkToFit="0" vertical="center" wrapText="0"/>
    </xf>
    <xf borderId="6" fillId="12" fontId="23" numFmtId="0" xfId="0" applyAlignment="1" applyBorder="1" applyFont="1">
      <alignment horizontal="center" shrinkToFit="0" vertical="center" wrapText="0"/>
    </xf>
    <xf borderId="6" fillId="15" fontId="23" numFmtId="0" xfId="0" applyAlignment="1" applyBorder="1" applyFont="1">
      <alignment horizontal="center" shrinkToFit="0" vertical="center" wrapText="0"/>
    </xf>
    <xf borderId="6" fillId="17" fontId="23" numFmtId="0" xfId="0" applyAlignment="1" applyBorder="1" applyFont="1">
      <alignment horizontal="center" shrinkToFit="0" vertical="center" wrapText="0"/>
    </xf>
    <xf borderId="0" fillId="0" fontId="1" numFmtId="0" xfId="0" applyAlignment="1" applyFont="1">
      <alignment readingOrder="0" shrinkToFit="0" vertical="bottom" wrapText="0"/>
    </xf>
    <xf borderId="1" fillId="2" fontId="24" numFmtId="0" xfId="0" applyAlignment="1" applyBorder="1" applyFont="1">
      <alignment horizontal="left" shrinkToFit="0" vertical="center" wrapText="0"/>
    </xf>
    <xf borderId="1" fillId="3" fontId="21" numFmtId="0" xfId="0" applyAlignment="1" applyBorder="1" applyFont="1">
      <alignment horizontal="left" shrinkToFit="0" vertical="center" wrapText="0"/>
    </xf>
    <xf borderId="4" fillId="0" fontId="23" numFmtId="0" xfId="0" applyAlignment="1" applyBorder="1" applyFont="1">
      <alignment horizontal="center" shrinkToFit="0" vertical="center" wrapText="0"/>
    </xf>
    <xf borderId="4" fillId="7" fontId="5" numFmtId="0" xfId="0" applyAlignment="1" applyBorder="1" applyFont="1">
      <alignment horizontal="left" shrinkToFit="0" vertical="center" wrapText="0"/>
    </xf>
    <xf borderId="4" fillId="3" fontId="25" numFmtId="0" xfId="0" applyAlignment="1" applyBorder="1" applyFont="1">
      <alignment horizontal="center" shrinkToFit="0" vertical="center" wrapText="0"/>
    </xf>
    <xf borderId="4" fillId="0" fontId="26" numFmtId="0" xfId="0" applyAlignment="1" applyBorder="1" applyFont="1">
      <alignment horizontal="center" shrinkToFit="0" vertical="center" wrapText="0"/>
    </xf>
    <xf borderId="4" fillId="0" fontId="27" numFmtId="0" xfId="0" applyAlignment="1" applyBorder="1" applyFont="1">
      <alignment horizontal="center" shrinkToFit="0" vertical="center" wrapText="0"/>
    </xf>
    <xf borderId="4" fillId="8" fontId="5" numFmtId="0" xfId="0" applyAlignment="1" applyBorder="1" applyFont="1">
      <alignment horizontal="left" shrinkToFit="0" vertical="center" wrapText="0"/>
    </xf>
    <xf borderId="4" fillId="9" fontId="5" numFmtId="0" xfId="0" applyAlignment="1" applyBorder="1" applyFont="1">
      <alignment horizontal="left" shrinkToFit="0" vertical="center" wrapText="0"/>
    </xf>
    <xf borderId="1" fillId="3" fontId="28" numFmtId="0" xfId="0" applyAlignment="1" applyBorder="1" applyFont="1">
      <alignment horizontal="left" shrinkToFit="0" vertical="center" wrapText="0"/>
    </xf>
    <xf borderId="0" fillId="0" fontId="29" numFmtId="0" xfId="0" applyAlignment="1" applyFont="1">
      <alignment horizontal="left" shrinkToFit="0" vertical="center" wrapText="0"/>
    </xf>
  </cellXfs>
  <cellStyles count="1">
    <cellStyle xfId="0" name="Normal" builtinId="0"/>
  </cellStyles>
  <dxfs count="4">
    <dxf>
      <font/>
      <fill>
        <patternFill patternType="solid">
          <fgColor rgb="FFD7EBD4"/>
          <bgColor rgb="FFD7EBD4"/>
        </patternFill>
      </fill>
      <border/>
    </dxf>
    <dxf>
      <font/>
      <fill>
        <patternFill patternType="solid">
          <fgColor rgb="FFFBF1CC"/>
          <bgColor rgb="FFFBF1CC"/>
        </patternFill>
      </fill>
      <border/>
    </dxf>
    <dxf>
      <font/>
      <fill>
        <patternFill patternType="solid">
          <fgColor rgb="FFDDDDDD"/>
          <bgColor rgb="FFDDDDDD"/>
        </patternFill>
      </fill>
      <border/>
    </dxf>
    <dxf>
      <font>
        <b/>
        <color rgb="FFFFFFFF"/>
        <name val="Arial"/>
      </font>
      <fill>
        <patternFill patternType="solid">
          <fgColor rgb="FFC9A227"/>
          <bgColor rgb="FFC9A22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4.0"/>
    <col customWidth="1" min="3" max="3" width="80.0"/>
    <col customWidth="1" min="4" max="4" width="3.0"/>
    <col customWidth="1" min="5" max="26" width="8.71"/>
  </cols>
  <sheetData>
    <row r="1">
      <c r="A1" s="1"/>
      <c r="B1" s="1"/>
      <c r="C1" s="1"/>
      <c r="D1" s="1"/>
    </row>
    <row r="2" ht="33.75" customHeight="1">
      <c r="A2" s="1"/>
      <c r="B2" s="2" t="s">
        <v>0</v>
      </c>
      <c r="C2" s="3"/>
      <c r="D2" s="1"/>
    </row>
    <row r="3" ht="21.75" customHeight="1">
      <c r="A3" s="1"/>
      <c r="B3" s="4" t="s">
        <v>1</v>
      </c>
      <c r="C3" s="3"/>
      <c r="D3" s="1"/>
    </row>
    <row r="4">
      <c r="A4" s="1"/>
      <c r="B4" s="1"/>
      <c r="C4" s="1"/>
      <c r="D4" s="1"/>
    </row>
    <row r="5" ht="24.0" customHeight="1">
      <c r="A5" s="1"/>
      <c r="B5" s="5" t="s">
        <v>2</v>
      </c>
      <c r="C5" s="3"/>
      <c r="D5" s="1"/>
    </row>
    <row r="6" ht="39.75" customHeight="1">
      <c r="A6" s="1"/>
      <c r="B6" s="6" t="s">
        <v>3</v>
      </c>
      <c r="C6" s="7" t="s">
        <v>4</v>
      </c>
      <c r="D6" s="1"/>
    </row>
    <row r="7" ht="39.75" customHeight="1">
      <c r="A7" s="1"/>
      <c r="B7" s="6" t="s">
        <v>5</v>
      </c>
      <c r="C7" s="7" t="s">
        <v>6</v>
      </c>
      <c r="D7" s="1"/>
    </row>
    <row r="8" ht="39.75" customHeight="1">
      <c r="A8" s="1"/>
      <c r="B8" s="6" t="s">
        <v>7</v>
      </c>
      <c r="C8" s="7" t="s">
        <v>8</v>
      </c>
      <c r="D8" s="1"/>
    </row>
    <row r="9" ht="39.75" customHeight="1">
      <c r="A9" s="1"/>
      <c r="B9" s="6" t="s">
        <v>9</v>
      </c>
      <c r="C9" s="7" t="s">
        <v>10</v>
      </c>
      <c r="D9" s="1"/>
    </row>
    <row r="10">
      <c r="A10" s="1"/>
      <c r="B10" s="1"/>
      <c r="C10" s="1"/>
      <c r="D10" s="1"/>
    </row>
    <row r="11" ht="24.0" customHeight="1">
      <c r="A11" s="1"/>
      <c r="B11" s="5" t="s">
        <v>11</v>
      </c>
      <c r="C11" s="3"/>
      <c r="D11" s="1"/>
    </row>
    <row r="12" ht="15.0" customHeight="1">
      <c r="A12" s="1"/>
      <c r="B12" s="8" t="s">
        <v>12</v>
      </c>
      <c r="C12" s="8" t="s">
        <v>13</v>
      </c>
      <c r="D12" s="1"/>
    </row>
    <row r="13" ht="25.5" customHeight="1">
      <c r="A13" s="1"/>
      <c r="B13" s="9" t="s">
        <v>14</v>
      </c>
      <c r="C13" s="10" t="s">
        <v>15</v>
      </c>
      <c r="D13" s="1"/>
    </row>
    <row r="14" ht="25.5" customHeight="1">
      <c r="A14" s="1"/>
      <c r="B14" s="9" t="s">
        <v>16</v>
      </c>
      <c r="C14" s="10" t="s">
        <v>17</v>
      </c>
      <c r="D14" s="1"/>
    </row>
    <row r="15" ht="25.5" customHeight="1">
      <c r="A15" s="1"/>
      <c r="B15" s="9" t="s">
        <v>18</v>
      </c>
      <c r="C15" s="10" t="s">
        <v>19</v>
      </c>
      <c r="D15" s="1"/>
    </row>
    <row r="16" ht="25.5" customHeight="1">
      <c r="A16" s="1"/>
      <c r="B16" s="9" t="s">
        <v>20</v>
      </c>
      <c r="C16" s="10" t="s">
        <v>21</v>
      </c>
      <c r="D16" s="1"/>
    </row>
    <row r="17" ht="25.5" customHeight="1">
      <c r="A17" s="1"/>
      <c r="B17" s="9" t="s">
        <v>22</v>
      </c>
      <c r="C17" s="10" t="s">
        <v>23</v>
      </c>
      <c r="D17" s="1"/>
    </row>
    <row r="18">
      <c r="A18" s="1"/>
      <c r="B18" s="1"/>
      <c r="C18" s="1"/>
      <c r="D18" s="1"/>
    </row>
    <row r="19" ht="24.0" customHeight="1">
      <c r="A19" s="1"/>
      <c r="B19" s="5" t="s">
        <v>24</v>
      </c>
      <c r="C19" s="3"/>
      <c r="D19" s="1"/>
    </row>
    <row r="20" ht="43.5" customHeight="1">
      <c r="A20" s="1"/>
      <c r="B20" s="6" t="s">
        <v>25</v>
      </c>
      <c r="C20" s="7" t="s">
        <v>26</v>
      </c>
      <c r="D20" s="1"/>
    </row>
    <row r="21" ht="36.0" customHeight="1">
      <c r="A21" s="1"/>
      <c r="B21" s="6" t="s">
        <v>27</v>
      </c>
      <c r="C21" s="7" t="s">
        <v>28</v>
      </c>
      <c r="D21" s="1"/>
    </row>
    <row r="22" ht="15.75" customHeight="1">
      <c r="A22" s="1"/>
      <c r="B22" s="1"/>
      <c r="C22" s="1"/>
      <c r="D22" s="1"/>
    </row>
    <row r="23" ht="24.0" customHeight="1">
      <c r="A23" s="1"/>
      <c r="B23" s="5" t="s">
        <v>29</v>
      </c>
      <c r="C23" s="3"/>
      <c r="D23" s="1"/>
    </row>
    <row r="24" ht="43.5" customHeight="1">
      <c r="A24" s="1"/>
      <c r="B24" s="6" t="s">
        <v>30</v>
      </c>
      <c r="C24" s="7" t="s">
        <v>31</v>
      </c>
      <c r="D24" s="1"/>
    </row>
    <row r="25" ht="15.75" customHeight="1">
      <c r="A25" s="1"/>
      <c r="B25" s="1"/>
      <c r="C25" s="1"/>
      <c r="D25" s="1"/>
    </row>
    <row r="26" ht="24.0" customHeight="1">
      <c r="A26" s="1"/>
      <c r="B26" s="5" t="s">
        <v>32</v>
      </c>
      <c r="C26" s="3"/>
      <c r="D26" s="1"/>
    </row>
    <row r="27" ht="30.0" customHeight="1">
      <c r="A27" s="1"/>
      <c r="B27" s="6" t="s">
        <v>33</v>
      </c>
      <c r="C27" s="7" t="s">
        <v>34</v>
      </c>
      <c r="D27" s="1"/>
    </row>
    <row r="28" ht="30.0" customHeight="1">
      <c r="A28" s="1"/>
      <c r="B28" s="6" t="s">
        <v>35</v>
      </c>
      <c r="C28" s="7" t="s">
        <v>36</v>
      </c>
      <c r="D28" s="1"/>
    </row>
    <row r="29" ht="30.0" customHeight="1">
      <c r="A29" s="1"/>
      <c r="B29" s="6" t="s">
        <v>37</v>
      </c>
      <c r="C29" s="7" t="s">
        <v>38</v>
      </c>
      <c r="D29" s="1"/>
    </row>
    <row r="30" ht="30.0" customHeight="1">
      <c r="A30" s="1"/>
      <c r="B30" s="6" t="s">
        <v>39</v>
      </c>
      <c r="C30" s="7" t="s">
        <v>40</v>
      </c>
      <c r="D30" s="1"/>
    </row>
    <row r="31" ht="15.75" customHeight="1">
      <c r="A31" s="1"/>
      <c r="B31" s="1"/>
      <c r="C31" s="1"/>
      <c r="D31" s="1"/>
    </row>
    <row r="32" ht="24.0" customHeight="1">
      <c r="A32" s="1"/>
      <c r="B32" s="5" t="s">
        <v>41</v>
      </c>
      <c r="C32" s="3"/>
      <c r="D32" s="1"/>
    </row>
    <row r="33" ht="30.0" customHeight="1">
      <c r="A33" s="1"/>
      <c r="B33" s="6" t="s">
        <v>42</v>
      </c>
      <c r="C33" s="7" t="s">
        <v>43</v>
      </c>
      <c r="D33" s="1"/>
    </row>
    <row r="34" ht="15.75" customHeight="1">
      <c r="A34" s="1"/>
      <c r="B34" s="1"/>
      <c r="C34" s="1"/>
      <c r="D34" s="1"/>
    </row>
    <row r="35" ht="24.0" customHeight="1">
      <c r="A35" s="1"/>
      <c r="B35" s="5" t="s">
        <v>44</v>
      </c>
      <c r="C35" s="3"/>
      <c r="D35" s="1"/>
    </row>
    <row r="36" ht="57.75" customHeight="1">
      <c r="A36" s="1"/>
      <c r="B36" s="6" t="s">
        <v>45</v>
      </c>
      <c r="C36" s="7" t="s">
        <v>46</v>
      </c>
      <c r="D36" s="1"/>
    </row>
    <row r="37" ht="30.0" customHeight="1">
      <c r="A37" s="1"/>
      <c r="B37" s="6" t="s">
        <v>47</v>
      </c>
      <c r="C37" s="7" t="s">
        <v>48</v>
      </c>
      <c r="D37" s="1"/>
    </row>
    <row r="38" ht="15.75" customHeight="1">
      <c r="A38" s="1"/>
      <c r="B38" s="1"/>
      <c r="C38" s="1"/>
      <c r="D38" s="1"/>
    </row>
    <row r="39" ht="15.75" customHeight="1">
      <c r="A39" s="1"/>
      <c r="B39" s="1"/>
      <c r="C39" s="1"/>
      <c r="D39" s="1"/>
    </row>
    <row r="40" ht="15.75" customHeight="1">
      <c r="A40" s="1"/>
      <c r="B40" s="1"/>
      <c r="C40" s="1"/>
      <c r="D40" s="1"/>
    </row>
    <row r="41" ht="15.75" customHeight="1">
      <c r="A41" s="1"/>
      <c r="B41" s="1"/>
      <c r="C41" s="1"/>
      <c r="D41" s="1"/>
    </row>
    <row r="42" ht="15.75" customHeight="1">
      <c r="A42" s="1"/>
      <c r="B42" s="1"/>
      <c r="C42" s="1"/>
      <c r="D42" s="1"/>
    </row>
    <row r="43" ht="15.75" customHeight="1">
      <c r="A43" s="1"/>
      <c r="B43" s="1"/>
      <c r="C43" s="1"/>
      <c r="D43" s="1"/>
    </row>
    <row r="44" ht="15.75" customHeight="1">
      <c r="A44" s="1"/>
      <c r="B44" s="1"/>
      <c r="C44" s="1"/>
      <c r="D44" s="1"/>
    </row>
    <row r="45" ht="15.75" customHeight="1">
      <c r="A45" s="1"/>
      <c r="B45" s="1"/>
      <c r="C45" s="1"/>
      <c r="D45" s="1"/>
    </row>
    <row r="46" ht="15.75" customHeight="1">
      <c r="A46" s="1"/>
      <c r="B46" s="1"/>
      <c r="C46" s="1"/>
      <c r="D46" s="1"/>
    </row>
    <row r="47" ht="15.75" customHeight="1">
      <c r="A47" s="1"/>
      <c r="B47" s="1"/>
      <c r="C47" s="1"/>
      <c r="D47" s="1"/>
    </row>
    <row r="48" ht="15.75" customHeight="1">
      <c r="A48" s="1"/>
      <c r="B48" s="1"/>
      <c r="C48" s="1"/>
      <c r="D48" s="1"/>
    </row>
    <row r="49" ht="15.75" customHeight="1">
      <c r="A49" s="1"/>
      <c r="B49" s="1"/>
      <c r="C49" s="1"/>
      <c r="D49" s="1"/>
    </row>
    <row r="50" ht="15.75" customHeight="1">
      <c r="A50" s="1"/>
      <c r="B50" s="1"/>
      <c r="C50" s="1"/>
      <c r="D50" s="1"/>
    </row>
    <row r="51" ht="15.75" customHeight="1">
      <c r="A51" s="1"/>
      <c r="B51" s="1"/>
      <c r="C51" s="1"/>
      <c r="D51" s="1"/>
    </row>
    <row r="52" ht="15.75" customHeight="1">
      <c r="A52" s="1"/>
      <c r="B52" s="1"/>
      <c r="C52" s="1"/>
      <c r="D52" s="1"/>
    </row>
    <row r="53" ht="15.75" customHeight="1">
      <c r="A53" s="1"/>
      <c r="B53" s="1"/>
      <c r="C53" s="1"/>
      <c r="D53" s="1"/>
    </row>
    <row r="54" ht="15.75" customHeight="1">
      <c r="A54" s="1"/>
      <c r="B54" s="1"/>
      <c r="C54" s="1"/>
      <c r="D54" s="1"/>
    </row>
    <row r="55" ht="15.75" customHeight="1">
      <c r="A55" s="1"/>
      <c r="B55" s="1"/>
      <c r="C55" s="1"/>
      <c r="D55" s="1"/>
    </row>
    <row r="56" ht="15.75" customHeight="1">
      <c r="A56" s="1"/>
      <c r="B56" s="1"/>
      <c r="C56" s="1"/>
      <c r="D56" s="1"/>
    </row>
    <row r="57" ht="15.75" customHeight="1">
      <c r="A57" s="1"/>
      <c r="B57" s="1"/>
      <c r="C57" s="1"/>
      <c r="D57" s="1"/>
    </row>
    <row r="58" ht="15.75" customHeight="1">
      <c r="A58" s="1"/>
      <c r="B58" s="1"/>
      <c r="C58" s="1"/>
      <c r="D58" s="1"/>
    </row>
    <row r="59" ht="15.75" customHeight="1">
      <c r="A59" s="1"/>
      <c r="B59" s="1"/>
      <c r="C59" s="1"/>
      <c r="D59" s="1"/>
    </row>
    <row r="60" ht="15.75" customHeight="1">
      <c r="A60" s="1"/>
      <c r="B60" s="1"/>
      <c r="C60" s="1"/>
      <c r="D60" s="1"/>
    </row>
    <row r="61" ht="15.75" customHeight="1">
      <c r="A61" s="1"/>
      <c r="B61" s="1"/>
      <c r="C61" s="1"/>
      <c r="D61" s="1"/>
    </row>
    <row r="62" ht="15.75" customHeight="1">
      <c r="A62" s="1"/>
      <c r="B62" s="1"/>
      <c r="C62" s="1"/>
      <c r="D62" s="1"/>
    </row>
    <row r="63" ht="15.75" customHeight="1">
      <c r="A63" s="1"/>
      <c r="B63" s="1"/>
      <c r="C63" s="1"/>
      <c r="D63" s="1"/>
    </row>
    <row r="64" ht="15.75" customHeight="1">
      <c r="A64" s="1"/>
      <c r="B64" s="1"/>
      <c r="C64" s="1"/>
      <c r="D64" s="1"/>
    </row>
    <row r="65" ht="15.75" customHeight="1">
      <c r="A65" s="1"/>
      <c r="B65" s="1"/>
      <c r="C65" s="1"/>
      <c r="D65" s="1"/>
    </row>
    <row r="66" ht="15.75" customHeight="1">
      <c r="A66" s="1"/>
      <c r="B66" s="1"/>
      <c r="C66" s="1"/>
      <c r="D66" s="1"/>
    </row>
    <row r="67" ht="15.75" customHeight="1">
      <c r="A67" s="1"/>
      <c r="B67" s="1"/>
      <c r="C67" s="1"/>
      <c r="D67" s="1"/>
    </row>
    <row r="68" ht="15.75" customHeight="1">
      <c r="A68" s="1"/>
      <c r="B68" s="1"/>
      <c r="C68" s="1"/>
      <c r="D68" s="1"/>
    </row>
    <row r="69" ht="15.75" customHeight="1">
      <c r="A69" s="1"/>
      <c r="B69" s="1"/>
      <c r="C69" s="1"/>
      <c r="D69" s="1"/>
    </row>
    <row r="70" ht="15.75" customHeight="1">
      <c r="A70" s="1"/>
      <c r="B70" s="1"/>
      <c r="C70" s="1"/>
      <c r="D70" s="1"/>
    </row>
    <row r="71" ht="15.75" customHeight="1">
      <c r="A71" s="1"/>
      <c r="B71" s="1"/>
      <c r="C71" s="1"/>
      <c r="D71" s="1"/>
    </row>
    <row r="72" ht="15.75" customHeight="1">
      <c r="A72" s="1"/>
      <c r="B72" s="1"/>
      <c r="C72" s="1"/>
      <c r="D72" s="1"/>
    </row>
    <row r="73" ht="15.75" customHeight="1">
      <c r="A73" s="1"/>
      <c r="B73" s="1"/>
      <c r="C73" s="1"/>
      <c r="D73" s="1"/>
    </row>
    <row r="74" ht="15.75" customHeight="1">
      <c r="A74" s="1"/>
      <c r="B74" s="1"/>
      <c r="C74" s="1"/>
      <c r="D74" s="1"/>
    </row>
    <row r="75" ht="15.75" customHeight="1">
      <c r="A75" s="1"/>
      <c r="B75" s="1"/>
      <c r="C75" s="1"/>
      <c r="D75" s="1"/>
    </row>
    <row r="76" ht="15.75" customHeight="1">
      <c r="A76" s="1"/>
      <c r="B76" s="1"/>
      <c r="C76" s="1"/>
      <c r="D76" s="1"/>
    </row>
    <row r="77" ht="15.75" customHeight="1">
      <c r="A77" s="1"/>
      <c r="B77" s="1"/>
      <c r="C77" s="1"/>
      <c r="D77" s="1"/>
    </row>
    <row r="78" ht="15.75" customHeight="1">
      <c r="A78" s="1"/>
      <c r="B78" s="1"/>
      <c r="C78" s="1"/>
      <c r="D78" s="1"/>
    </row>
    <row r="79" ht="15.75" customHeight="1">
      <c r="A79" s="1"/>
      <c r="B79" s="1"/>
      <c r="C79" s="1"/>
      <c r="D79" s="1"/>
    </row>
    <row r="80" ht="15.75" customHeight="1">
      <c r="A80" s="1"/>
      <c r="B80" s="1"/>
      <c r="C80" s="1"/>
      <c r="D80" s="1"/>
    </row>
    <row r="81" ht="15.75" customHeight="1">
      <c r="A81" s="1"/>
      <c r="B81" s="1"/>
      <c r="C81" s="1"/>
      <c r="D81" s="1"/>
    </row>
    <row r="82" ht="15.75" customHeight="1">
      <c r="A82" s="1"/>
      <c r="B82" s="1"/>
      <c r="C82" s="1"/>
      <c r="D82" s="1"/>
    </row>
    <row r="83" ht="15.75" customHeight="1">
      <c r="A83" s="1"/>
      <c r="B83" s="1"/>
      <c r="C83" s="1"/>
      <c r="D83" s="1"/>
    </row>
    <row r="84" ht="15.75" customHeight="1">
      <c r="A84" s="1"/>
      <c r="B84" s="1"/>
      <c r="C84" s="1"/>
      <c r="D84" s="1"/>
    </row>
    <row r="85" ht="15.75" customHeight="1">
      <c r="A85" s="1"/>
      <c r="B85" s="1"/>
      <c r="C85" s="1"/>
      <c r="D85" s="1"/>
    </row>
    <row r="86" ht="15.75" customHeight="1">
      <c r="A86" s="1"/>
      <c r="B86" s="1"/>
      <c r="C86" s="1"/>
      <c r="D86" s="1"/>
    </row>
    <row r="87" ht="15.75" customHeight="1">
      <c r="A87" s="1"/>
      <c r="B87" s="1"/>
      <c r="C87" s="1"/>
      <c r="D87" s="1"/>
    </row>
    <row r="88" ht="15.75" customHeight="1">
      <c r="A88" s="1"/>
      <c r="B88" s="1"/>
      <c r="C88" s="1"/>
      <c r="D88" s="1"/>
    </row>
    <row r="89" ht="15.75" customHeight="1">
      <c r="A89" s="1"/>
      <c r="B89" s="1"/>
      <c r="C89" s="1"/>
      <c r="D89" s="1"/>
    </row>
    <row r="90" ht="15.75" customHeight="1">
      <c r="A90" s="1"/>
      <c r="B90" s="1"/>
      <c r="C90" s="1"/>
      <c r="D90" s="1"/>
    </row>
    <row r="91" ht="15.75" customHeight="1">
      <c r="A91" s="1"/>
      <c r="B91" s="1"/>
      <c r="C91" s="1"/>
      <c r="D91" s="1"/>
    </row>
    <row r="92" ht="15.75" customHeight="1">
      <c r="A92" s="1"/>
      <c r="B92" s="1"/>
      <c r="C92" s="1"/>
      <c r="D92" s="1"/>
    </row>
    <row r="93" ht="15.75" customHeight="1">
      <c r="A93" s="1"/>
      <c r="B93" s="1"/>
      <c r="C93" s="1"/>
      <c r="D93" s="1"/>
    </row>
    <row r="94" ht="15.75" customHeight="1">
      <c r="A94" s="1"/>
      <c r="B94" s="1"/>
      <c r="C94" s="1"/>
      <c r="D94" s="1"/>
    </row>
    <row r="95" ht="15.75" customHeight="1">
      <c r="A95" s="1"/>
      <c r="B95" s="1"/>
      <c r="C95" s="1"/>
      <c r="D95" s="1"/>
    </row>
    <row r="96" ht="15.75" customHeight="1">
      <c r="A96" s="1"/>
      <c r="B96" s="1"/>
      <c r="C96" s="1"/>
      <c r="D96" s="1"/>
    </row>
    <row r="97" ht="15.75" customHeight="1">
      <c r="A97" s="1"/>
      <c r="B97" s="1"/>
      <c r="C97" s="1"/>
      <c r="D97" s="1"/>
    </row>
    <row r="98" ht="15.75" customHeight="1">
      <c r="A98" s="1"/>
      <c r="B98" s="1"/>
      <c r="C98" s="1"/>
      <c r="D98" s="1"/>
    </row>
    <row r="99" ht="15.75" customHeight="1">
      <c r="A99" s="1"/>
      <c r="B99" s="1"/>
      <c r="C99" s="1"/>
      <c r="D99" s="1"/>
    </row>
    <row r="100" ht="15.75" customHeight="1">
      <c r="A100" s="1"/>
      <c r="B100" s="1"/>
      <c r="C100" s="1"/>
      <c r="D100" s="1"/>
    </row>
    <row r="101" ht="15.75" customHeight="1">
      <c r="A101" s="1"/>
      <c r="B101" s="1"/>
      <c r="C101" s="1"/>
      <c r="D101" s="1"/>
    </row>
    <row r="102" ht="15.75" customHeight="1">
      <c r="A102" s="1"/>
      <c r="B102" s="1"/>
      <c r="C102" s="1"/>
      <c r="D102" s="1"/>
    </row>
    <row r="103" ht="15.75" customHeight="1">
      <c r="A103" s="1"/>
      <c r="B103" s="1"/>
      <c r="C103" s="1"/>
      <c r="D103" s="1"/>
    </row>
    <row r="104" ht="15.75" customHeight="1">
      <c r="A104" s="1"/>
      <c r="B104" s="1"/>
      <c r="C104" s="1"/>
      <c r="D104" s="1"/>
    </row>
    <row r="105" ht="15.75" customHeight="1">
      <c r="A105" s="1"/>
      <c r="B105" s="1"/>
      <c r="C105" s="1"/>
      <c r="D105" s="1"/>
    </row>
    <row r="106" ht="15.75" customHeight="1">
      <c r="A106" s="1"/>
      <c r="B106" s="1"/>
      <c r="C106" s="1"/>
      <c r="D106" s="1"/>
    </row>
    <row r="107" ht="15.75" customHeight="1">
      <c r="A107" s="1"/>
      <c r="B107" s="1"/>
      <c r="C107" s="1"/>
      <c r="D107" s="1"/>
    </row>
    <row r="108" ht="15.75" customHeight="1">
      <c r="A108" s="1"/>
      <c r="B108" s="1"/>
      <c r="C108" s="1"/>
      <c r="D108" s="1"/>
    </row>
    <row r="109" ht="15.75" customHeight="1">
      <c r="A109" s="1"/>
      <c r="B109" s="1"/>
      <c r="C109" s="1"/>
      <c r="D109" s="1"/>
    </row>
    <row r="110" ht="15.75" customHeight="1">
      <c r="A110" s="1"/>
      <c r="B110" s="1"/>
      <c r="C110" s="1"/>
      <c r="D110" s="1"/>
    </row>
    <row r="111" ht="15.75" customHeight="1">
      <c r="A111" s="1"/>
      <c r="B111" s="1"/>
      <c r="C111" s="1"/>
      <c r="D111" s="1"/>
    </row>
    <row r="112" ht="15.75" customHeight="1">
      <c r="A112" s="1"/>
      <c r="B112" s="1"/>
      <c r="C112" s="1"/>
      <c r="D112" s="1"/>
    </row>
    <row r="113" ht="15.75" customHeight="1">
      <c r="A113" s="1"/>
      <c r="B113" s="1"/>
      <c r="C113" s="1"/>
      <c r="D113" s="1"/>
    </row>
    <row r="114" ht="15.75" customHeight="1">
      <c r="A114" s="1"/>
      <c r="B114" s="1"/>
      <c r="C114" s="1"/>
      <c r="D114" s="1"/>
    </row>
    <row r="115" ht="15.75" customHeight="1">
      <c r="A115" s="1"/>
      <c r="B115" s="1"/>
      <c r="C115" s="1"/>
      <c r="D115" s="1"/>
    </row>
    <row r="116" ht="15.75" customHeight="1">
      <c r="A116" s="1"/>
      <c r="B116" s="1"/>
      <c r="C116" s="1"/>
      <c r="D116" s="1"/>
    </row>
    <row r="117" ht="15.75" customHeight="1">
      <c r="A117" s="1"/>
      <c r="B117" s="1"/>
      <c r="C117" s="1"/>
      <c r="D117" s="1"/>
    </row>
    <row r="118" ht="15.75" customHeight="1">
      <c r="A118" s="1"/>
      <c r="B118" s="1"/>
      <c r="C118" s="1"/>
      <c r="D118" s="1"/>
    </row>
    <row r="119" ht="15.75" customHeight="1">
      <c r="A119" s="1"/>
      <c r="B119" s="1"/>
      <c r="C119" s="1"/>
      <c r="D119" s="1"/>
    </row>
    <row r="120" ht="15.75" customHeight="1">
      <c r="A120" s="1"/>
      <c r="B120" s="1"/>
      <c r="C120" s="1"/>
      <c r="D120" s="1"/>
    </row>
    <row r="121" ht="15.75" customHeight="1">
      <c r="A121" s="1"/>
      <c r="B121" s="1"/>
      <c r="C121" s="1"/>
      <c r="D121" s="1"/>
    </row>
    <row r="122" ht="15.75" customHeight="1">
      <c r="A122" s="1"/>
      <c r="B122" s="1"/>
      <c r="C122" s="1"/>
      <c r="D122" s="1"/>
    </row>
    <row r="123" ht="15.75" customHeight="1">
      <c r="A123" s="1"/>
      <c r="B123" s="1"/>
      <c r="C123" s="1"/>
      <c r="D123" s="1"/>
    </row>
    <row r="124" ht="15.75" customHeight="1">
      <c r="A124" s="1"/>
      <c r="B124" s="1"/>
      <c r="C124" s="1"/>
      <c r="D124" s="1"/>
    </row>
    <row r="125" ht="15.75" customHeight="1">
      <c r="A125" s="1"/>
      <c r="B125" s="1"/>
      <c r="C125" s="1"/>
      <c r="D125" s="1"/>
    </row>
    <row r="126" ht="15.75" customHeight="1">
      <c r="A126" s="1"/>
      <c r="B126" s="1"/>
      <c r="C126" s="1"/>
      <c r="D126" s="1"/>
    </row>
    <row r="127" ht="15.75" customHeight="1">
      <c r="A127" s="1"/>
      <c r="B127" s="1"/>
      <c r="C127" s="1"/>
      <c r="D127" s="1"/>
    </row>
    <row r="128" ht="15.75" customHeight="1">
      <c r="A128" s="1"/>
      <c r="B128" s="1"/>
      <c r="C128" s="1"/>
      <c r="D128" s="1"/>
    </row>
    <row r="129" ht="15.75" customHeight="1">
      <c r="A129" s="1"/>
      <c r="B129" s="1"/>
      <c r="C129" s="1"/>
      <c r="D129" s="1"/>
    </row>
    <row r="130" ht="15.75" customHeight="1">
      <c r="A130" s="1"/>
      <c r="B130" s="1"/>
      <c r="C130" s="1"/>
      <c r="D130" s="1"/>
    </row>
    <row r="131" ht="15.75" customHeight="1">
      <c r="A131" s="1"/>
      <c r="B131" s="1"/>
      <c r="C131" s="1"/>
      <c r="D131" s="1"/>
    </row>
    <row r="132" ht="15.75" customHeight="1">
      <c r="A132" s="1"/>
      <c r="B132" s="1"/>
      <c r="C132" s="1"/>
      <c r="D132" s="1"/>
    </row>
    <row r="133" ht="15.75" customHeight="1">
      <c r="A133" s="1"/>
      <c r="B133" s="1"/>
      <c r="C133" s="1"/>
      <c r="D133" s="1"/>
    </row>
    <row r="134" ht="15.75" customHeight="1">
      <c r="A134" s="1"/>
      <c r="B134" s="1"/>
      <c r="C134" s="1"/>
      <c r="D134" s="1"/>
    </row>
    <row r="135" ht="15.75" customHeight="1">
      <c r="A135" s="1"/>
      <c r="B135" s="1"/>
      <c r="C135" s="1"/>
      <c r="D135" s="1"/>
    </row>
    <row r="136" ht="15.75" customHeight="1">
      <c r="A136" s="1"/>
      <c r="B136" s="1"/>
      <c r="C136" s="1"/>
      <c r="D136" s="1"/>
    </row>
    <row r="137" ht="15.75" customHeight="1">
      <c r="A137" s="1"/>
      <c r="B137" s="1"/>
      <c r="C137" s="1"/>
      <c r="D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row>
    <row r="150" ht="15.75" customHeight="1">
      <c r="A150" s="1"/>
      <c r="B150" s="1"/>
      <c r="C150" s="1"/>
      <c r="D150" s="1"/>
    </row>
    <row r="151" ht="15.75" customHeight="1">
      <c r="A151" s="1"/>
      <c r="B151" s="1"/>
      <c r="C151" s="1"/>
      <c r="D151" s="1"/>
    </row>
    <row r="152" ht="15.75" customHeight="1">
      <c r="A152" s="1"/>
      <c r="B152" s="1"/>
      <c r="C152" s="1"/>
      <c r="D152" s="1"/>
    </row>
    <row r="153" ht="15.75" customHeight="1">
      <c r="A153" s="1"/>
      <c r="B153" s="1"/>
      <c r="C153" s="1"/>
      <c r="D153" s="1"/>
    </row>
    <row r="154" ht="15.75" customHeight="1">
      <c r="A154" s="1"/>
      <c r="B154" s="1"/>
      <c r="C154" s="1"/>
      <c r="D154" s="1"/>
    </row>
    <row r="155" ht="15.75" customHeight="1">
      <c r="A155" s="1"/>
      <c r="B155" s="1"/>
      <c r="C155" s="1"/>
      <c r="D155" s="1"/>
    </row>
    <row r="156" ht="15.75" customHeight="1">
      <c r="A156" s="1"/>
      <c r="B156" s="1"/>
      <c r="C156" s="1"/>
      <c r="D156" s="1"/>
    </row>
    <row r="157" ht="15.75" customHeight="1">
      <c r="A157" s="1"/>
      <c r="B157" s="1"/>
      <c r="C157" s="1"/>
      <c r="D157" s="1"/>
    </row>
    <row r="158" ht="15.75" customHeight="1">
      <c r="A158" s="1"/>
      <c r="B158" s="1"/>
      <c r="C158" s="1"/>
      <c r="D158" s="1"/>
    </row>
    <row r="159" ht="15.75" customHeight="1">
      <c r="A159" s="1"/>
      <c r="B159" s="1"/>
      <c r="C159" s="1"/>
      <c r="D159" s="1"/>
    </row>
    <row r="160" ht="15.75" customHeight="1">
      <c r="A160" s="1"/>
      <c r="B160" s="1"/>
      <c r="C160" s="1"/>
      <c r="D160" s="1"/>
    </row>
    <row r="161" ht="15.75" customHeight="1">
      <c r="A161" s="1"/>
      <c r="B161" s="1"/>
      <c r="C161" s="1"/>
      <c r="D161" s="1"/>
    </row>
    <row r="162" ht="15.75" customHeight="1">
      <c r="A162" s="1"/>
      <c r="B162" s="1"/>
      <c r="C162" s="1"/>
      <c r="D162" s="1"/>
    </row>
    <row r="163" ht="15.75" customHeight="1">
      <c r="A163" s="1"/>
      <c r="B163" s="1"/>
      <c r="C163" s="1"/>
      <c r="D163" s="1"/>
    </row>
    <row r="164" ht="15.75" customHeight="1">
      <c r="A164" s="1"/>
      <c r="B164" s="1"/>
      <c r="C164" s="1"/>
      <c r="D164" s="1"/>
    </row>
    <row r="165" ht="15.75" customHeight="1">
      <c r="A165" s="1"/>
      <c r="B165" s="1"/>
      <c r="C165" s="1"/>
      <c r="D165" s="1"/>
    </row>
    <row r="166" ht="15.75" customHeight="1">
      <c r="A166" s="1"/>
      <c r="B166" s="1"/>
      <c r="C166" s="1"/>
      <c r="D166" s="1"/>
    </row>
    <row r="167" ht="15.75" customHeight="1">
      <c r="A167" s="1"/>
      <c r="B167" s="1"/>
      <c r="C167" s="1"/>
      <c r="D167" s="1"/>
    </row>
    <row r="168" ht="15.75" customHeight="1">
      <c r="A168" s="1"/>
      <c r="B168" s="1"/>
      <c r="C168" s="1"/>
      <c r="D168" s="1"/>
    </row>
    <row r="169" ht="15.75" customHeight="1">
      <c r="A169" s="1"/>
      <c r="B169" s="1"/>
      <c r="C169" s="1"/>
      <c r="D169" s="1"/>
    </row>
    <row r="170" ht="15.75" customHeight="1">
      <c r="A170" s="1"/>
      <c r="B170" s="1"/>
      <c r="C170" s="1"/>
      <c r="D170" s="1"/>
    </row>
    <row r="171" ht="15.75" customHeight="1">
      <c r="A171" s="1"/>
      <c r="B171" s="1"/>
      <c r="C171" s="1"/>
      <c r="D171" s="1"/>
    </row>
    <row r="172" ht="15.75" customHeight="1">
      <c r="A172" s="1"/>
      <c r="B172" s="1"/>
      <c r="C172" s="1"/>
      <c r="D172" s="1"/>
    </row>
    <row r="173" ht="15.75" customHeight="1">
      <c r="A173" s="1"/>
      <c r="B173" s="1"/>
      <c r="C173" s="1"/>
      <c r="D173" s="1"/>
    </row>
    <row r="174" ht="15.75" customHeight="1">
      <c r="A174" s="1"/>
      <c r="B174" s="1"/>
      <c r="C174" s="1"/>
      <c r="D174" s="1"/>
    </row>
    <row r="175" ht="15.75" customHeight="1">
      <c r="A175" s="1"/>
      <c r="B175" s="1"/>
      <c r="C175" s="1"/>
      <c r="D175" s="1"/>
    </row>
    <row r="176" ht="15.75" customHeight="1">
      <c r="A176" s="1"/>
      <c r="B176" s="1"/>
      <c r="C176" s="1"/>
      <c r="D176" s="1"/>
    </row>
    <row r="177" ht="15.75" customHeight="1">
      <c r="A177" s="1"/>
      <c r="B177" s="1"/>
      <c r="C177" s="1"/>
      <c r="D177" s="1"/>
    </row>
    <row r="178" ht="15.75" customHeight="1">
      <c r="A178" s="1"/>
      <c r="B178" s="1"/>
      <c r="C178" s="1"/>
      <c r="D178" s="1"/>
    </row>
    <row r="179" ht="15.75" customHeight="1">
      <c r="A179" s="1"/>
      <c r="B179" s="1"/>
      <c r="C179" s="1"/>
      <c r="D179" s="1"/>
    </row>
    <row r="180" ht="15.75" customHeight="1">
      <c r="A180" s="1"/>
      <c r="B180" s="1"/>
      <c r="C180" s="1"/>
      <c r="D180" s="1"/>
    </row>
    <row r="181" ht="15.75" customHeight="1">
      <c r="A181" s="1"/>
      <c r="B181" s="1"/>
      <c r="C181" s="1"/>
      <c r="D181" s="1"/>
    </row>
    <row r="182" ht="15.75" customHeight="1">
      <c r="A182" s="1"/>
      <c r="B182" s="1"/>
      <c r="C182" s="1"/>
      <c r="D182" s="1"/>
    </row>
    <row r="183" ht="15.75" customHeight="1">
      <c r="A183" s="1"/>
      <c r="B183" s="1"/>
      <c r="C183" s="1"/>
      <c r="D183" s="1"/>
    </row>
    <row r="184" ht="15.75" customHeight="1">
      <c r="A184" s="1"/>
      <c r="B184" s="1"/>
      <c r="C184" s="1"/>
      <c r="D184" s="1"/>
    </row>
    <row r="185" ht="15.75" customHeight="1">
      <c r="A185" s="1"/>
      <c r="B185" s="1"/>
      <c r="C185" s="1"/>
      <c r="D185" s="1"/>
    </row>
    <row r="186" ht="15.75" customHeight="1">
      <c r="A186" s="1"/>
      <c r="B186" s="1"/>
      <c r="C186" s="1"/>
      <c r="D186" s="1"/>
    </row>
    <row r="187" ht="15.75" customHeight="1">
      <c r="A187" s="1"/>
      <c r="B187" s="1"/>
      <c r="C187" s="1"/>
      <c r="D187" s="1"/>
    </row>
    <row r="188" ht="15.75" customHeight="1">
      <c r="A188" s="1"/>
      <c r="B188" s="1"/>
      <c r="C188" s="1"/>
      <c r="D188" s="1"/>
    </row>
    <row r="189" ht="15.75" customHeight="1">
      <c r="A189" s="1"/>
      <c r="B189" s="1"/>
      <c r="C189" s="1"/>
      <c r="D189" s="1"/>
    </row>
    <row r="190" ht="15.75" customHeight="1">
      <c r="A190" s="1"/>
      <c r="B190" s="1"/>
      <c r="C190" s="1"/>
      <c r="D190" s="1"/>
    </row>
    <row r="191" ht="15.75" customHeight="1">
      <c r="A191" s="1"/>
      <c r="B191" s="1"/>
      <c r="C191" s="1"/>
      <c r="D191" s="1"/>
    </row>
    <row r="192" ht="15.75" customHeight="1">
      <c r="A192" s="1"/>
      <c r="B192" s="1"/>
      <c r="C192" s="1"/>
      <c r="D192" s="1"/>
    </row>
    <row r="193" ht="15.75" customHeight="1">
      <c r="A193" s="1"/>
      <c r="B193" s="1"/>
      <c r="C193" s="1"/>
      <c r="D193" s="1"/>
    </row>
    <row r="194" ht="15.75" customHeight="1">
      <c r="A194" s="1"/>
      <c r="B194" s="1"/>
      <c r="C194" s="1"/>
      <c r="D194" s="1"/>
    </row>
    <row r="195" ht="15.75" customHeight="1">
      <c r="A195" s="1"/>
      <c r="B195" s="1"/>
      <c r="C195" s="1"/>
      <c r="D195" s="1"/>
    </row>
    <row r="196" ht="15.75" customHeight="1">
      <c r="A196" s="1"/>
      <c r="B196" s="1"/>
      <c r="C196" s="1"/>
      <c r="D196" s="1"/>
    </row>
    <row r="197" ht="15.75" customHeight="1">
      <c r="A197" s="1"/>
      <c r="B197" s="1"/>
      <c r="C197" s="1"/>
      <c r="D197" s="1"/>
    </row>
    <row r="198" ht="15.75" customHeight="1">
      <c r="A198" s="1"/>
      <c r="B198" s="1"/>
      <c r="C198" s="1"/>
      <c r="D198" s="1"/>
    </row>
    <row r="199" ht="15.75" customHeight="1">
      <c r="A199" s="1"/>
      <c r="B199" s="1"/>
      <c r="C199" s="1"/>
      <c r="D199" s="1"/>
    </row>
    <row r="200" ht="15.75" customHeight="1">
      <c r="A200" s="1"/>
      <c r="B200" s="1"/>
      <c r="C200" s="1"/>
      <c r="D200" s="1"/>
    </row>
    <row r="201" ht="15.75" customHeight="1">
      <c r="A201" s="1"/>
      <c r="B201" s="1"/>
      <c r="C201" s="1"/>
      <c r="D201" s="1"/>
    </row>
    <row r="202" ht="15.75" customHeight="1">
      <c r="A202" s="1"/>
      <c r="B202" s="1"/>
      <c r="C202" s="1"/>
      <c r="D202" s="1"/>
    </row>
    <row r="203" ht="15.75" customHeight="1">
      <c r="A203" s="1"/>
      <c r="B203" s="1"/>
      <c r="C203" s="1"/>
      <c r="D203" s="1"/>
    </row>
    <row r="204" ht="15.75" customHeight="1">
      <c r="A204" s="1"/>
      <c r="B204" s="1"/>
      <c r="C204" s="1"/>
      <c r="D204" s="1"/>
    </row>
    <row r="205" ht="15.75" customHeight="1">
      <c r="A205" s="1"/>
      <c r="B205" s="1"/>
      <c r="C205" s="1"/>
      <c r="D205" s="1"/>
    </row>
    <row r="206" ht="15.75" customHeight="1">
      <c r="A206" s="1"/>
      <c r="B206" s="1"/>
      <c r="C206" s="1"/>
      <c r="D206" s="1"/>
    </row>
    <row r="207" ht="15.75" customHeight="1">
      <c r="A207" s="1"/>
      <c r="B207" s="1"/>
      <c r="C207" s="1"/>
      <c r="D207" s="1"/>
    </row>
    <row r="208" ht="15.75" customHeight="1">
      <c r="A208" s="1"/>
      <c r="B208" s="1"/>
      <c r="C208" s="1"/>
      <c r="D208" s="1"/>
    </row>
    <row r="209" ht="15.75" customHeight="1">
      <c r="A209" s="1"/>
      <c r="B209" s="1"/>
      <c r="C209" s="1"/>
      <c r="D209" s="1"/>
    </row>
    <row r="210" ht="15.75" customHeight="1">
      <c r="A210" s="1"/>
      <c r="B210" s="1"/>
      <c r="C210" s="1"/>
      <c r="D210" s="1"/>
    </row>
    <row r="211" ht="15.75" customHeight="1">
      <c r="A211" s="1"/>
      <c r="B211" s="1"/>
      <c r="C211" s="1"/>
      <c r="D211" s="1"/>
    </row>
    <row r="212" ht="15.75" customHeight="1">
      <c r="A212" s="1"/>
      <c r="B212" s="1"/>
      <c r="C212" s="1"/>
      <c r="D212" s="1"/>
    </row>
    <row r="213" ht="15.75" customHeight="1">
      <c r="A213" s="1"/>
      <c r="B213" s="1"/>
      <c r="C213" s="1"/>
      <c r="D213" s="1"/>
    </row>
    <row r="214" ht="15.75" customHeight="1">
      <c r="A214" s="1"/>
      <c r="B214" s="1"/>
      <c r="C214" s="1"/>
      <c r="D214" s="1"/>
    </row>
    <row r="215" ht="15.75" customHeight="1">
      <c r="A215" s="1"/>
      <c r="B215" s="1"/>
      <c r="C215" s="1"/>
      <c r="D215" s="1"/>
    </row>
    <row r="216" ht="15.75" customHeight="1">
      <c r="A216" s="1"/>
      <c r="B216" s="1"/>
      <c r="C216" s="1"/>
      <c r="D216" s="1"/>
    </row>
    <row r="217" ht="15.75" customHeight="1">
      <c r="A217" s="1"/>
      <c r="B217" s="1"/>
      <c r="C217" s="1"/>
      <c r="D217" s="1"/>
    </row>
    <row r="218" ht="15.75" customHeight="1">
      <c r="A218" s="1"/>
      <c r="B218" s="1"/>
      <c r="C218" s="1"/>
      <c r="D218" s="1"/>
    </row>
    <row r="219" ht="15.75" customHeight="1">
      <c r="A219" s="1"/>
      <c r="B219" s="1"/>
      <c r="C219" s="1"/>
      <c r="D219" s="1"/>
    </row>
    <row r="220" ht="15.75" customHeight="1">
      <c r="A220" s="1"/>
      <c r="B220" s="1"/>
      <c r="C220" s="1"/>
      <c r="D220" s="1"/>
    </row>
    <row r="221" ht="15.75" customHeight="1">
      <c r="A221" s="1"/>
      <c r="B221" s="1"/>
      <c r="C221" s="1"/>
      <c r="D221" s="1"/>
    </row>
    <row r="222" ht="15.75" customHeight="1">
      <c r="A222" s="1"/>
      <c r="B222" s="1"/>
      <c r="C222" s="1"/>
      <c r="D222" s="1"/>
    </row>
    <row r="223" ht="15.75" customHeight="1">
      <c r="A223" s="1"/>
      <c r="B223" s="1"/>
      <c r="C223" s="1"/>
      <c r="D223" s="1"/>
    </row>
    <row r="224" ht="15.75" customHeight="1">
      <c r="A224" s="1"/>
      <c r="B224" s="1"/>
      <c r="C224" s="1"/>
      <c r="D224" s="1"/>
    </row>
    <row r="225" ht="15.75" customHeight="1">
      <c r="A225" s="1"/>
      <c r="B225" s="1"/>
      <c r="C225" s="1"/>
      <c r="D225" s="1"/>
    </row>
    <row r="226" ht="15.75" customHeight="1">
      <c r="A226" s="1"/>
      <c r="B226" s="1"/>
      <c r="C226" s="1"/>
      <c r="D226" s="1"/>
    </row>
    <row r="227" ht="15.75" customHeight="1">
      <c r="A227" s="1"/>
      <c r="B227" s="1"/>
      <c r="C227" s="1"/>
      <c r="D227" s="1"/>
    </row>
    <row r="228" ht="15.75" customHeight="1">
      <c r="A228" s="1"/>
      <c r="B228" s="1"/>
      <c r="C228" s="1"/>
      <c r="D228" s="1"/>
    </row>
    <row r="229" ht="15.75" customHeight="1">
      <c r="A229" s="1"/>
      <c r="B229" s="1"/>
      <c r="C229" s="1"/>
      <c r="D229" s="1"/>
    </row>
    <row r="230" ht="15.75" customHeight="1">
      <c r="A230" s="1"/>
      <c r="B230" s="1"/>
      <c r="C230" s="1"/>
      <c r="D230" s="1"/>
    </row>
    <row r="231" ht="15.75" customHeight="1">
      <c r="A231" s="1"/>
      <c r="B231" s="1"/>
      <c r="C231" s="1"/>
      <c r="D231" s="1"/>
    </row>
    <row r="232" ht="15.75" customHeight="1">
      <c r="A232" s="1"/>
      <c r="B232" s="1"/>
      <c r="C232" s="1"/>
      <c r="D232" s="1"/>
    </row>
    <row r="233" ht="15.75" customHeight="1">
      <c r="A233" s="1"/>
      <c r="B233" s="1"/>
      <c r="C233" s="1"/>
      <c r="D233" s="1"/>
    </row>
    <row r="234" ht="15.75" customHeight="1">
      <c r="A234" s="1"/>
      <c r="B234" s="1"/>
      <c r="C234" s="1"/>
      <c r="D234" s="1"/>
    </row>
    <row r="235" ht="15.75" customHeight="1">
      <c r="A235" s="1"/>
      <c r="B235" s="1"/>
      <c r="C235" s="1"/>
      <c r="D235" s="1"/>
    </row>
    <row r="236" ht="15.75" customHeight="1">
      <c r="A236" s="1"/>
      <c r="B236" s="1"/>
      <c r="C236" s="1"/>
      <c r="D236" s="1"/>
    </row>
    <row r="237" ht="15.75" customHeight="1">
      <c r="A237" s="1"/>
      <c r="B237" s="1"/>
      <c r="C237" s="1"/>
      <c r="D237" s="1"/>
    </row>
    <row r="238" ht="15.75" customHeight="1">
      <c r="A238" s="1"/>
      <c r="B238" s="1"/>
      <c r="C238" s="1"/>
      <c r="D238" s="1"/>
    </row>
    <row r="239" ht="15.75" customHeight="1">
      <c r="A239" s="1"/>
      <c r="B239" s="1"/>
      <c r="C239" s="1"/>
      <c r="D239" s="1"/>
    </row>
    <row r="240" ht="15.75" customHeight="1">
      <c r="A240" s="1"/>
      <c r="B240" s="1"/>
      <c r="C240" s="1"/>
      <c r="D240" s="1"/>
    </row>
    <row r="241" ht="15.75" customHeight="1">
      <c r="A241" s="1"/>
      <c r="B241" s="1"/>
      <c r="C241" s="1"/>
      <c r="D241" s="1"/>
    </row>
    <row r="242" ht="15.75" customHeight="1">
      <c r="A242" s="1"/>
      <c r="B242" s="1"/>
      <c r="C242" s="1"/>
      <c r="D242" s="1"/>
    </row>
    <row r="243" ht="15.75" customHeight="1">
      <c r="A243" s="1"/>
      <c r="B243" s="1"/>
      <c r="C243" s="1"/>
      <c r="D243" s="1"/>
    </row>
    <row r="244" ht="15.75" customHeight="1">
      <c r="A244" s="1"/>
      <c r="B244" s="1"/>
      <c r="C244" s="1"/>
      <c r="D244" s="1"/>
    </row>
    <row r="245" ht="15.75" customHeight="1">
      <c r="A245" s="1"/>
      <c r="B245" s="1"/>
      <c r="C245" s="1"/>
      <c r="D245" s="1"/>
    </row>
    <row r="246" ht="15.75" customHeight="1">
      <c r="A246" s="1"/>
      <c r="B246" s="1"/>
      <c r="C246" s="1"/>
      <c r="D246" s="1"/>
    </row>
    <row r="247" ht="15.75" customHeight="1">
      <c r="A247" s="1"/>
      <c r="B247" s="1"/>
      <c r="C247" s="1"/>
      <c r="D247" s="1"/>
    </row>
    <row r="248" ht="15.75" customHeight="1">
      <c r="A248" s="1"/>
      <c r="B248" s="1"/>
      <c r="C248" s="1"/>
      <c r="D248" s="1"/>
    </row>
    <row r="249" ht="15.75" customHeight="1">
      <c r="A249" s="1"/>
      <c r="B249" s="1"/>
      <c r="C249" s="1"/>
      <c r="D249" s="1"/>
    </row>
    <row r="250" ht="15.75" customHeight="1">
      <c r="A250" s="1"/>
      <c r="B250" s="1"/>
      <c r="C250" s="1"/>
      <c r="D250" s="1"/>
    </row>
    <row r="251" ht="15.75" customHeight="1">
      <c r="A251" s="1"/>
      <c r="B251" s="1"/>
      <c r="C251" s="1"/>
      <c r="D251" s="1"/>
    </row>
    <row r="252" ht="15.75" customHeight="1">
      <c r="A252" s="1"/>
      <c r="B252" s="1"/>
      <c r="C252" s="1"/>
      <c r="D252" s="1"/>
    </row>
    <row r="253" ht="15.75" customHeight="1">
      <c r="A253" s="1"/>
      <c r="B253" s="1"/>
      <c r="C253" s="1"/>
      <c r="D253" s="1"/>
    </row>
    <row r="254" ht="15.75" customHeight="1">
      <c r="A254" s="1"/>
      <c r="B254" s="1"/>
      <c r="C254" s="1"/>
      <c r="D254" s="1"/>
    </row>
    <row r="255" ht="15.75" customHeight="1">
      <c r="A255" s="1"/>
      <c r="B255" s="1"/>
      <c r="C255" s="1"/>
      <c r="D255" s="1"/>
    </row>
    <row r="256" ht="15.75" customHeight="1">
      <c r="A256" s="1"/>
      <c r="B256" s="1"/>
      <c r="C256" s="1"/>
      <c r="D256" s="1"/>
    </row>
    <row r="257" ht="15.75" customHeight="1">
      <c r="A257" s="1"/>
      <c r="B257" s="1"/>
      <c r="C257" s="1"/>
      <c r="D257" s="1"/>
    </row>
    <row r="258" ht="15.75" customHeight="1">
      <c r="A258" s="1"/>
      <c r="B258" s="1"/>
      <c r="C258" s="1"/>
      <c r="D258" s="1"/>
    </row>
    <row r="259" ht="15.75" customHeight="1">
      <c r="A259" s="1"/>
      <c r="B259" s="1"/>
      <c r="C259" s="1"/>
      <c r="D259" s="1"/>
    </row>
    <row r="260" ht="15.75" customHeight="1">
      <c r="A260" s="1"/>
      <c r="B260" s="1"/>
      <c r="C260" s="1"/>
      <c r="D260" s="1"/>
    </row>
    <row r="261" ht="15.75" customHeight="1">
      <c r="A261" s="1"/>
      <c r="B261" s="1"/>
      <c r="C261" s="1"/>
      <c r="D261" s="1"/>
    </row>
    <row r="262" ht="15.75" customHeight="1">
      <c r="A262" s="1"/>
      <c r="B262" s="1"/>
      <c r="C262" s="1"/>
      <c r="D262" s="1"/>
    </row>
    <row r="263" ht="15.75" customHeight="1">
      <c r="A263" s="1"/>
      <c r="B263" s="1"/>
      <c r="C263" s="1"/>
      <c r="D263" s="1"/>
    </row>
    <row r="264" ht="15.75" customHeight="1">
      <c r="A264" s="1"/>
      <c r="B264" s="1"/>
      <c r="C264" s="1"/>
      <c r="D264" s="1"/>
    </row>
    <row r="265" ht="15.75" customHeight="1">
      <c r="A265" s="1"/>
      <c r="B265" s="1"/>
      <c r="C265" s="1"/>
      <c r="D265" s="1"/>
    </row>
    <row r="266" ht="15.75" customHeight="1">
      <c r="A266" s="1"/>
      <c r="B266" s="1"/>
      <c r="C266" s="1"/>
      <c r="D266" s="1"/>
    </row>
    <row r="267" ht="15.75" customHeight="1">
      <c r="A267" s="1"/>
      <c r="B267" s="1"/>
      <c r="C267" s="1"/>
      <c r="D267" s="1"/>
    </row>
    <row r="268" ht="15.75" customHeight="1">
      <c r="A268" s="1"/>
      <c r="B268" s="1"/>
      <c r="C268" s="1"/>
      <c r="D268" s="1"/>
    </row>
    <row r="269" ht="15.75" customHeight="1">
      <c r="A269" s="1"/>
      <c r="B269" s="1"/>
      <c r="C269" s="1"/>
      <c r="D269" s="1"/>
    </row>
    <row r="270" ht="15.75" customHeight="1">
      <c r="A270" s="1"/>
      <c r="B270" s="1"/>
      <c r="C270" s="1"/>
      <c r="D270" s="1"/>
    </row>
    <row r="271" ht="15.75" customHeight="1">
      <c r="A271" s="1"/>
      <c r="B271" s="1"/>
      <c r="C271" s="1"/>
      <c r="D271" s="1"/>
    </row>
    <row r="272" ht="15.75" customHeight="1">
      <c r="A272" s="1"/>
      <c r="B272" s="1"/>
      <c r="C272" s="1"/>
      <c r="D272" s="1"/>
    </row>
    <row r="273" ht="15.75" customHeight="1">
      <c r="A273" s="1"/>
      <c r="B273" s="1"/>
      <c r="C273" s="1"/>
      <c r="D273" s="1"/>
    </row>
    <row r="274" ht="15.75" customHeight="1">
      <c r="A274" s="1"/>
      <c r="B274" s="1"/>
      <c r="C274" s="1"/>
      <c r="D274" s="1"/>
    </row>
    <row r="275" ht="15.75" customHeight="1">
      <c r="A275" s="1"/>
      <c r="B275" s="1"/>
      <c r="C275" s="1"/>
      <c r="D275" s="1"/>
    </row>
    <row r="276" ht="15.75" customHeight="1">
      <c r="A276" s="1"/>
      <c r="B276" s="1"/>
      <c r="C276" s="1"/>
      <c r="D276" s="1"/>
    </row>
    <row r="277" ht="15.75" customHeight="1">
      <c r="A277" s="1"/>
      <c r="B277" s="1"/>
      <c r="C277" s="1"/>
      <c r="D277" s="1"/>
    </row>
    <row r="278" ht="15.75" customHeight="1">
      <c r="A278" s="1"/>
      <c r="B278" s="1"/>
      <c r="C278" s="1"/>
      <c r="D278" s="1"/>
    </row>
    <row r="279" ht="15.75" customHeight="1">
      <c r="A279" s="1"/>
      <c r="B279" s="1"/>
      <c r="C279" s="1"/>
      <c r="D279" s="1"/>
    </row>
    <row r="280" ht="15.75" customHeight="1">
      <c r="A280" s="1"/>
      <c r="B280" s="1"/>
      <c r="C280" s="1"/>
      <c r="D280" s="1"/>
    </row>
    <row r="281" ht="15.75" customHeight="1">
      <c r="A281" s="1"/>
      <c r="B281" s="1"/>
      <c r="C281" s="1"/>
      <c r="D281" s="1"/>
    </row>
    <row r="282" ht="15.75" customHeight="1">
      <c r="A282" s="1"/>
      <c r="B282" s="1"/>
      <c r="C282" s="1"/>
      <c r="D282" s="1"/>
    </row>
    <row r="283" ht="15.75" customHeight="1">
      <c r="A283" s="1"/>
      <c r="B283" s="1"/>
      <c r="C283" s="1"/>
      <c r="D283" s="1"/>
    </row>
    <row r="284" ht="15.75" customHeight="1">
      <c r="A284" s="1"/>
      <c r="B284" s="1"/>
      <c r="C284" s="1"/>
      <c r="D284" s="1"/>
    </row>
    <row r="285" ht="15.75" customHeight="1">
      <c r="A285" s="1"/>
      <c r="B285" s="1"/>
      <c r="C285" s="1"/>
      <c r="D285" s="1"/>
    </row>
    <row r="286" ht="15.75" customHeight="1">
      <c r="A286" s="1"/>
      <c r="B286" s="1"/>
      <c r="C286" s="1"/>
      <c r="D286" s="1"/>
    </row>
    <row r="287" ht="15.75" customHeight="1">
      <c r="A287" s="1"/>
      <c r="B287" s="1"/>
      <c r="C287" s="1"/>
      <c r="D287" s="1"/>
    </row>
    <row r="288" ht="15.75" customHeight="1">
      <c r="A288" s="1"/>
      <c r="B288" s="1"/>
      <c r="C288" s="1"/>
      <c r="D288" s="1"/>
    </row>
    <row r="289" ht="15.75" customHeight="1">
      <c r="A289" s="1"/>
      <c r="B289" s="1"/>
      <c r="C289" s="1"/>
      <c r="D289" s="1"/>
    </row>
    <row r="290" ht="15.75" customHeight="1">
      <c r="A290" s="1"/>
      <c r="B290" s="1"/>
      <c r="C290" s="1"/>
      <c r="D290" s="1"/>
    </row>
    <row r="291" ht="15.75" customHeight="1">
      <c r="A291" s="1"/>
      <c r="B291" s="1"/>
      <c r="C291" s="1"/>
      <c r="D291" s="1"/>
    </row>
    <row r="292" ht="15.75" customHeight="1">
      <c r="A292" s="1"/>
      <c r="B292" s="1"/>
      <c r="C292" s="1"/>
      <c r="D292" s="1"/>
    </row>
    <row r="293" ht="15.75" customHeight="1">
      <c r="A293" s="1"/>
      <c r="B293" s="1"/>
      <c r="C293" s="1"/>
      <c r="D293" s="1"/>
    </row>
    <row r="294" ht="15.75" customHeight="1">
      <c r="A294" s="1"/>
      <c r="B294" s="1"/>
      <c r="C294" s="1"/>
      <c r="D294" s="1"/>
    </row>
    <row r="295" ht="15.75" customHeight="1">
      <c r="A295" s="1"/>
      <c r="B295" s="1"/>
      <c r="C295" s="1"/>
      <c r="D295" s="1"/>
    </row>
    <row r="296" ht="15.75" customHeight="1">
      <c r="A296" s="1"/>
      <c r="B296" s="1"/>
      <c r="C296" s="1"/>
      <c r="D296" s="1"/>
    </row>
    <row r="297" ht="15.75" customHeight="1">
      <c r="A297" s="1"/>
      <c r="B297" s="1"/>
      <c r="C297" s="1"/>
      <c r="D297" s="1"/>
    </row>
    <row r="298" ht="15.75" customHeight="1">
      <c r="A298" s="1"/>
      <c r="B298" s="1"/>
      <c r="C298" s="1"/>
      <c r="D298" s="1"/>
    </row>
    <row r="299" ht="15.75" customHeight="1">
      <c r="A299" s="1"/>
      <c r="B299" s="1"/>
      <c r="C299" s="1"/>
      <c r="D299" s="1"/>
    </row>
    <row r="300" ht="15.75" customHeight="1">
      <c r="A300" s="1"/>
      <c r="B300" s="1"/>
      <c r="C300" s="1"/>
      <c r="D300" s="1"/>
    </row>
    <row r="301" ht="15.75" customHeight="1">
      <c r="A301" s="1"/>
      <c r="B301" s="1"/>
      <c r="C301" s="1"/>
      <c r="D301" s="1"/>
    </row>
    <row r="302" ht="15.75" customHeight="1">
      <c r="A302" s="1"/>
      <c r="B302" s="1"/>
      <c r="C302" s="1"/>
      <c r="D302" s="1"/>
    </row>
    <row r="303" ht="15.75" customHeight="1">
      <c r="A303" s="1"/>
      <c r="B303" s="1"/>
      <c r="C303" s="1"/>
      <c r="D303" s="1"/>
    </row>
    <row r="304" ht="15.75" customHeight="1">
      <c r="A304" s="1"/>
      <c r="B304" s="1"/>
      <c r="C304" s="1"/>
      <c r="D304" s="1"/>
    </row>
    <row r="305" ht="15.75" customHeight="1">
      <c r="A305" s="1"/>
      <c r="B305" s="1"/>
      <c r="C305" s="1"/>
      <c r="D305" s="1"/>
    </row>
    <row r="306" ht="15.75" customHeight="1">
      <c r="A306" s="1"/>
      <c r="B306" s="1"/>
      <c r="C306" s="1"/>
      <c r="D306" s="1"/>
    </row>
    <row r="307" ht="15.75" customHeight="1">
      <c r="A307" s="1"/>
      <c r="B307" s="1"/>
      <c r="C307" s="1"/>
      <c r="D307" s="1"/>
    </row>
    <row r="308" ht="15.75" customHeight="1">
      <c r="A308" s="1"/>
      <c r="B308" s="1"/>
      <c r="C308" s="1"/>
      <c r="D308" s="1"/>
    </row>
    <row r="309" ht="15.75" customHeight="1">
      <c r="A309" s="1"/>
      <c r="B309" s="1"/>
      <c r="C309" s="1"/>
      <c r="D309" s="1"/>
    </row>
    <row r="310" ht="15.75" customHeight="1">
      <c r="A310" s="1"/>
      <c r="B310" s="1"/>
      <c r="C310" s="1"/>
      <c r="D310" s="1"/>
    </row>
    <row r="311" ht="15.75" customHeight="1">
      <c r="A311" s="1"/>
      <c r="B311" s="1"/>
      <c r="C311" s="1"/>
      <c r="D311" s="1"/>
    </row>
    <row r="312" ht="15.75" customHeight="1">
      <c r="A312" s="1"/>
      <c r="B312" s="1"/>
      <c r="C312" s="1"/>
      <c r="D312" s="1"/>
    </row>
    <row r="313" ht="15.75" customHeight="1">
      <c r="A313" s="1"/>
      <c r="B313" s="1"/>
      <c r="C313" s="1"/>
      <c r="D313" s="1"/>
    </row>
    <row r="314" ht="15.75" customHeight="1">
      <c r="A314" s="1"/>
      <c r="B314" s="1"/>
      <c r="C314" s="1"/>
      <c r="D314" s="1"/>
    </row>
    <row r="315" ht="15.75" customHeight="1">
      <c r="A315" s="1"/>
      <c r="B315" s="1"/>
      <c r="C315" s="1"/>
      <c r="D315" s="1"/>
    </row>
    <row r="316" ht="15.75" customHeight="1">
      <c r="A316" s="1"/>
      <c r="B316" s="1"/>
      <c r="C316" s="1"/>
      <c r="D316" s="1"/>
    </row>
    <row r="317" ht="15.75" customHeight="1">
      <c r="A317" s="1"/>
      <c r="B317" s="1"/>
      <c r="C317" s="1"/>
      <c r="D317" s="1"/>
    </row>
    <row r="318" ht="15.75" customHeight="1">
      <c r="A318" s="1"/>
      <c r="B318" s="1"/>
      <c r="C318" s="1"/>
      <c r="D318" s="1"/>
    </row>
    <row r="319" ht="15.75" customHeight="1">
      <c r="A319" s="1"/>
      <c r="B319" s="1"/>
      <c r="C319" s="1"/>
      <c r="D319" s="1"/>
    </row>
    <row r="320" ht="15.75" customHeight="1">
      <c r="A320" s="1"/>
      <c r="B320" s="1"/>
      <c r="C320" s="1"/>
      <c r="D320" s="1"/>
    </row>
    <row r="321" ht="15.75" customHeight="1">
      <c r="A321" s="1"/>
      <c r="B321" s="1"/>
      <c r="C321" s="1"/>
      <c r="D321" s="1"/>
    </row>
    <row r="322" ht="15.75" customHeight="1">
      <c r="A322" s="1"/>
      <c r="B322" s="1"/>
      <c r="C322" s="1"/>
      <c r="D322" s="1"/>
    </row>
    <row r="323" ht="15.75" customHeight="1">
      <c r="A323" s="1"/>
      <c r="B323" s="1"/>
      <c r="C323" s="1"/>
      <c r="D323" s="1"/>
    </row>
    <row r="324" ht="15.75" customHeight="1">
      <c r="A324" s="1"/>
      <c r="B324" s="1"/>
      <c r="C324" s="1"/>
      <c r="D324" s="1"/>
    </row>
    <row r="325" ht="15.75" customHeight="1">
      <c r="A325" s="1"/>
      <c r="B325" s="1"/>
      <c r="C325" s="1"/>
      <c r="D325" s="1"/>
    </row>
    <row r="326" ht="15.75" customHeight="1">
      <c r="A326" s="1"/>
      <c r="B326" s="1"/>
      <c r="C326" s="1"/>
      <c r="D326" s="1"/>
    </row>
    <row r="327" ht="15.75" customHeight="1">
      <c r="A327" s="1"/>
      <c r="B327" s="1"/>
      <c r="C327" s="1"/>
      <c r="D327" s="1"/>
    </row>
    <row r="328" ht="15.75" customHeight="1">
      <c r="A328" s="1"/>
      <c r="B328" s="1"/>
      <c r="C328" s="1"/>
      <c r="D328" s="1"/>
    </row>
    <row r="329" ht="15.75" customHeight="1">
      <c r="A329" s="1"/>
      <c r="B329" s="1"/>
      <c r="C329" s="1"/>
      <c r="D329" s="1"/>
    </row>
    <row r="330" ht="15.75" customHeight="1">
      <c r="A330" s="1"/>
      <c r="B330" s="1"/>
      <c r="C330" s="1"/>
      <c r="D330" s="1"/>
    </row>
    <row r="331" ht="15.75" customHeight="1">
      <c r="A331" s="1"/>
      <c r="B331" s="1"/>
      <c r="C331" s="1"/>
      <c r="D331" s="1"/>
    </row>
    <row r="332" ht="15.75" customHeight="1">
      <c r="A332" s="1"/>
      <c r="B332" s="1"/>
      <c r="C332" s="1"/>
      <c r="D332" s="1"/>
    </row>
    <row r="333" ht="15.75" customHeight="1">
      <c r="A333" s="1"/>
      <c r="B333" s="1"/>
      <c r="C333" s="1"/>
      <c r="D333" s="1"/>
    </row>
    <row r="334" ht="15.75" customHeight="1">
      <c r="A334" s="1"/>
      <c r="B334" s="1"/>
      <c r="C334" s="1"/>
      <c r="D334" s="1"/>
    </row>
    <row r="335" ht="15.75" customHeight="1">
      <c r="A335" s="1"/>
      <c r="B335" s="1"/>
      <c r="C335" s="1"/>
      <c r="D335" s="1"/>
    </row>
    <row r="336" ht="15.75" customHeight="1">
      <c r="A336" s="1"/>
      <c r="B336" s="1"/>
      <c r="C336" s="1"/>
      <c r="D336" s="1"/>
    </row>
    <row r="337" ht="15.75" customHeight="1">
      <c r="A337" s="1"/>
      <c r="B337" s="1"/>
      <c r="C337" s="1"/>
      <c r="D337" s="1"/>
    </row>
    <row r="338" ht="15.75" customHeight="1">
      <c r="A338" s="1"/>
      <c r="B338" s="1"/>
      <c r="C338" s="1"/>
      <c r="D338" s="1"/>
    </row>
    <row r="339" ht="15.75" customHeight="1">
      <c r="A339" s="1"/>
      <c r="B339" s="1"/>
      <c r="C339" s="1"/>
      <c r="D339" s="1"/>
    </row>
    <row r="340" ht="15.75" customHeight="1">
      <c r="A340" s="1"/>
      <c r="B340" s="1"/>
      <c r="C340" s="1"/>
      <c r="D340" s="1"/>
    </row>
    <row r="341" ht="15.75" customHeight="1">
      <c r="A341" s="1"/>
      <c r="B341" s="1"/>
      <c r="C341" s="1"/>
      <c r="D341" s="1"/>
    </row>
    <row r="342" ht="15.75" customHeight="1">
      <c r="A342" s="1"/>
      <c r="B342" s="1"/>
      <c r="C342" s="1"/>
      <c r="D342" s="1"/>
    </row>
    <row r="343" ht="15.75" customHeight="1">
      <c r="A343" s="1"/>
      <c r="B343" s="1"/>
      <c r="C343" s="1"/>
      <c r="D343" s="1"/>
    </row>
    <row r="344" ht="15.75" customHeight="1">
      <c r="A344" s="1"/>
      <c r="B344" s="1"/>
      <c r="C344" s="1"/>
      <c r="D344" s="1"/>
    </row>
    <row r="345" ht="15.75" customHeight="1">
      <c r="A345" s="1"/>
      <c r="B345" s="1"/>
      <c r="C345" s="1"/>
      <c r="D345" s="1"/>
    </row>
    <row r="346" ht="15.75" customHeight="1">
      <c r="A346" s="1"/>
      <c r="B346" s="1"/>
      <c r="C346" s="1"/>
      <c r="D346" s="1"/>
    </row>
    <row r="347" ht="15.75" customHeight="1">
      <c r="A347" s="1"/>
      <c r="B347" s="1"/>
      <c r="C347" s="1"/>
      <c r="D347" s="1"/>
    </row>
    <row r="348" ht="15.75" customHeight="1">
      <c r="A348" s="1"/>
      <c r="B348" s="1"/>
      <c r="C348" s="1"/>
      <c r="D348" s="1"/>
    </row>
    <row r="349" ht="15.75" customHeight="1">
      <c r="A349" s="1"/>
      <c r="B349" s="1"/>
      <c r="C349" s="1"/>
      <c r="D349" s="1"/>
    </row>
    <row r="350" ht="15.75" customHeight="1">
      <c r="A350" s="1"/>
      <c r="B350" s="1"/>
      <c r="C350" s="1"/>
      <c r="D350" s="1"/>
    </row>
    <row r="351" ht="15.75" customHeight="1">
      <c r="A351" s="1"/>
      <c r="B351" s="1"/>
      <c r="C351" s="1"/>
      <c r="D351" s="1"/>
    </row>
    <row r="352" ht="15.75" customHeight="1">
      <c r="A352" s="1"/>
      <c r="B352" s="1"/>
      <c r="C352" s="1"/>
      <c r="D352" s="1"/>
    </row>
    <row r="353" ht="15.75" customHeight="1">
      <c r="A353" s="1"/>
      <c r="B353" s="1"/>
      <c r="C353" s="1"/>
      <c r="D353" s="1"/>
    </row>
    <row r="354" ht="15.75" customHeight="1">
      <c r="A354" s="1"/>
      <c r="B354" s="1"/>
      <c r="C354" s="1"/>
      <c r="D354" s="1"/>
    </row>
    <row r="355" ht="15.75" customHeight="1">
      <c r="A355" s="1"/>
      <c r="B355" s="1"/>
      <c r="C355" s="1"/>
      <c r="D355" s="1"/>
    </row>
    <row r="356" ht="15.75" customHeight="1">
      <c r="A356" s="1"/>
      <c r="B356" s="1"/>
      <c r="C356" s="1"/>
      <c r="D356" s="1"/>
    </row>
    <row r="357" ht="15.75" customHeight="1">
      <c r="A357" s="1"/>
      <c r="B357" s="1"/>
      <c r="C357" s="1"/>
      <c r="D357" s="1"/>
    </row>
    <row r="358" ht="15.75" customHeight="1">
      <c r="A358" s="1"/>
      <c r="B358" s="1"/>
      <c r="C358" s="1"/>
      <c r="D358" s="1"/>
    </row>
    <row r="359" ht="15.75" customHeight="1">
      <c r="A359" s="1"/>
      <c r="B359" s="1"/>
      <c r="C359" s="1"/>
      <c r="D359" s="1"/>
    </row>
    <row r="360" ht="15.75" customHeight="1">
      <c r="A360" s="1"/>
      <c r="B360" s="1"/>
      <c r="C360" s="1"/>
      <c r="D360" s="1"/>
    </row>
    <row r="361" ht="15.75" customHeight="1">
      <c r="A361" s="1"/>
      <c r="B361" s="1"/>
      <c r="C361" s="1"/>
      <c r="D361" s="1"/>
    </row>
    <row r="362" ht="15.75" customHeight="1">
      <c r="A362" s="1"/>
      <c r="B362" s="1"/>
      <c r="C362" s="1"/>
      <c r="D362" s="1"/>
    </row>
    <row r="363" ht="15.75" customHeight="1">
      <c r="A363" s="1"/>
      <c r="B363" s="1"/>
      <c r="C363" s="1"/>
      <c r="D363" s="1"/>
    </row>
    <row r="364" ht="15.75" customHeight="1">
      <c r="A364" s="1"/>
      <c r="B364" s="1"/>
      <c r="C364" s="1"/>
      <c r="D364" s="1"/>
    </row>
    <row r="365" ht="15.75" customHeight="1">
      <c r="A365" s="1"/>
      <c r="B365" s="1"/>
      <c r="C365" s="1"/>
      <c r="D365" s="1"/>
    </row>
    <row r="366" ht="15.75" customHeight="1">
      <c r="A366" s="1"/>
      <c r="B366" s="1"/>
      <c r="C366" s="1"/>
      <c r="D366" s="1"/>
    </row>
    <row r="367" ht="15.75" customHeight="1">
      <c r="A367" s="1"/>
      <c r="B367" s="1"/>
      <c r="C367" s="1"/>
      <c r="D367" s="1"/>
    </row>
    <row r="368" ht="15.75" customHeight="1">
      <c r="A368" s="1"/>
      <c r="B368" s="1"/>
      <c r="C368" s="1"/>
      <c r="D368" s="1"/>
    </row>
    <row r="369" ht="15.75" customHeight="1">
      <c r="A369" s="1"/>
      <c r="B369" s="1"/>
      <c r="C369" s="1"/>
      <c r="D369" s="1"/>
    </row>
    <row r="370" ht="15.75" customHeight="1">
      <c r="A370" s="1"/>
      <c r="B370" s="1"/>
      <c r="C370" s="1"/>
      <c r="D370" s="1"/>
    </row>
    <row r="371" ht="15.75" customHeight="1">
      <c r="A371" s="1"/>
      <c r="B371" s="1"/>
      <c r="C371" s="1"/>
      <c r="D371" s="1"/>
    </row>
    <row r="372" ht="15.75" customHeight="1">
      <c r="A372" s="1"/>
      <c r="B372" s="1"/>
      <c r="C372" s="1"/>
      <c r="D372" s="1"/>
    </row>
    <row r="373" ht="15.75" customHeight="1">
      <c r="A373" s="1"/>
      <c r="B373" s="1"/>
      <c r="C373" s="1"/>
      <c r="D373" s="1"/>
    </row>
    <row r="374" ht="15.75" customHeight="1">
      <c r="A374" s="1"/>
      <c r="B374" s="1"/>
      <c r="C374" s="1"/>
      <c r="D374" s="1"/>
    </row>
    <row r="375" ht="15.75" customHeight="1">
      <c r="A375" s="1"/>
      <c r="B375" s="1"/>
      <c r="C375" s="1"/>
      <c r="D375" s="1"/>
    </row>
    <row r="376" ht="15.75" customHeight="1">
      <c r="A376" s="1"/>
      <c r="B376" s="1"/>
      <c r="C376" s="1"/>
      <c r="D376" s="1"/>
    </row>
    <row r="377" ht="15.75" customHeight="1">
      <c r="A377" s="1"/>
      <c r="B377" s="1"/>
      <c r="C377" s="1"/>
      <c r="D377" s="1"/>
    </row>
    <row r="378" ht="15.75" customHeight="1">
      <c r="A378" s="1"/>
      <c r="B378" s="1"/>
      <c r="C378" s="1"/>
      <c r="D378" s="1"/>
    </row>
    <row r="379" ht="15.75" customHeight="1">
      <c r="A379" s="1"/>
      <c r="B379" s="1"/>
      <c r="C379" s="1"/>
      <c r="D379" s="1"/>
    </row>
    <row r="380" ht="15.75" customHeight="1">
      <c r="A380" s="1"/>
      <c r="B380" s="1"/>
      <c r="C380" s="1"/>
      <c r="D380" s="1"/>
    </row>
    <row r="381" ht="15.75" customHeight="1">
      <c r="A381" s="1"/>
      <c r="B381" s="1"/>
      <c r="C381" s="1"/>
      <c r="D381" s="1"/>
    </row>
    <row r="382" ht="15.75" customHeight="1">
      <c r="A382" s="1"/>
      <c r="B382" s="1"/>
      <c r="C382" s="1"/>
      <c r="D382" s="1"/>
    </row>
    <row r="383" ht="15.75" customHeight="1">
      <c r="A383" s="1"/>
      <c r="B383" s="1"/>
      <c r="C383" s="1"/>
      <c r="D383" s="1"/>
    </row>
    <row r="384" ht="15.75" customHeight="1">
      <c r="A384" s="1"/>
      <c r="B384" s="1"/>
      <c r="C384" s="1"/>
      <c r="D384" s="1"/>
    </row>
    <row r="385" ht="15.75" customHeight="1">
      <c r="A385" s="1"/>
      <c r="B385" s="1"/>
      <c r="C385" s="1"/>
      <c r="D385" s="1"/>
    </row>
    <row r="386" ht="15.75" customHeight="1">
      <c r="A386" s="1"/>
      <c r="B386" s="1"/>
      <c r="C386" s="1"/>
      <c r="D386" s="1"/>
    </row>
    <row r="387" ht="15.75" customHeight="1">
      <c r="A387" s="1"/>
      <c r="B387" s="1"/>
      <c r="C387" s="1"/>
      <c r="D387" s="1"/>
    </row>
    <row r="388" ht="15.75" customHeight="1">
      <c r="A388" s="1"/>
      <c r="B388" s="1"/>
      <c r="C388" s="1"/>
      <c r="D388" s="1"/>
    </row>
    <row r="389" ht="15.75" customHeight="1">
      <c r="A389" s="1"/>
      <c r="B389" s="1"/>
      <c r="C389" s="1"/>
      <c r="D389" s="1"/>
    </row>
    <row r="390" ht="15.75" customHeight="1">
      <c r="A390" s="1"/>
      <c r="B390" s="1"/>
      <c r="C390" s="1"/>
      <c r="D390" s="1"/>
    </row>
    <row r="391" ht="15.75" customHeight="1">
      <c r="A391" s="1"/>
      <c r="B391" s="1"/>
      <c r="C391" s="1"/>
      <c r="D391" s="1"/>
    </row>
    <row r="392" ht="15.75" customHeight="1">
      <c r="A392" s="1"/>
      <c r="B392" s="1"/>
      <c r="C392" s="1"/>
      <c r="D392" s="1"/>
    </row>
    <row r="393" ht="15.75" customHeight="1">
      <c r="A393" s="1"/>
      <c r="B393" s="1"/>
      <c r="C393" s="1"/>
      <c r="D393" s="1"/>
    </row>
    <row r="394" ht="15.75" customHeight="1">
      <c r="A394" s="1"/>
      <c r="B394" s="1"/>
      <c r="C394" s="1"/>
      <c r="D394" s="1"/>
    </row>
    <row r="395" ht="15.75" customHeight="1">
      <c r="A395" s="1"/>
      <c r="B395" s="1"/>
      <c r="C395" s="1"/>
      <c r="D395" s="1"/>
    </row>
    <row r="396" ht="15.75" customHeight="1">
      <c r="A396" s="1"/>
      <c r="B396" s="1"/>
      <c r="C396" s="1"/>
      <c r="D396" s="1"/>
    </row>
    <row r="397" ht="15.75" customHeight="1">
      <c r="A397" s="1"/>
      <c r="B397" s="1"/>
      <c r="C397" s="1"/>
      <c r="D397" s="1"/>
    </row>
    <row r="398" ht="15.75" customHeight="1">
      <c r="A398" s="1"/>
      <c r="B398" s="1"/>
      <c r="C398" s="1"/>
      <c r="D398" s="1"/>
    </row>
    <row r="399" ht="15.75" customHeight="1">
      <c r="A399" s="1"/>
      <c r="B399" s="1"/>
      <c r="C399" s="1"/>
      <c r="D399" s="1"/>
    </row>
    <row r="400" ht="15.75" customHeight="1">
      <c r="A400" s="1"/>
      <c r="B400" s="1"/>
      <c r="C400" s="1"/>
      <c r="D400" s="1"/>
    </row>
    <row r="401" ht="15.75" customHeight="1">
      <c r="A401" s="1"/>
      <c r="B401" s="1"/>
      <c r="C401" s="1"/>
      <c r="D401" s="1"/>
    </row>
    <row r="402" ht="15.75" customHeight="1">
      <c r="A402" s="1"/>
      <c r="B402" s="1"/>
      <c r="C402" s="1"/>
      <c r="D402" s="1"/>
    </row>
    <row r="403" ht="15.75" customHeight="1">
      <c r="A403" s="1"/>
      <c r="B403" s="1"/>
      <c r="C403" s="1"/>
      <c r="D403" s="1"/>
    </row>
    <row r="404" ht="15.75" customHeight="1">
      <c r="A404" s="1"/>
      <c r="B404" s="1"/>
      <c r="C404" s="1"/>
      <c r="D404" s="1"/>
    </row>
    <row r="405" ht="15.75" customHeight="1">
      <c r="A405" s="1"/>
      <c r="B405" s="1"/>
      <c r="C405" s="1"/>
      <c r="D405" s="1"/>
    </row>
    <row r="406" ht="15.75" customHeight="1">
      <c r="A406" s="1"/>
      <c r="B406" s="1"/>
      <c r="C406" s="1"/>
      <c r="D406" s="1"/>
    </row>
    <row r="407" ht="15.75" customHeight="1">
      <c r="A407" s="1"/>
      <c r="B407" s="1"/>
      <c r="C407" s="1"/>
      <c r="D407" s="1"/>
    </row>
    <row r="408" ht="15.75" customHeight="1">
      <c r="A408" s="1"/>
      <c r="B408" s="1"/>
      <c r="C408" s="1"/>
      <c r="D408" s="1"/>
    </row>
    <row r="409" ht="15.75" customHeight="1">
      <c r="A409" s="1"/>
      <c r="B409" s="1"/>
      <c r="C409" s="1"/>
      <c r="D409" s="1"/>
    </row>
    <row r="410" ht="15.75" customHeight="1">
      <c r="A410" s="1"/>
      <c r="B410" s="1"/>
      <c r="C410" s="1"/>
      <c r="D410" s="1"/>
    </row>
    <row r="411" ht="15.75" customHeight="1">
      <c r="A411" s="1"/>
      <c r="B411" s="1"/>
      <c r="C411" s="1"/>
      <c r="D411" s="1"/>
    </row>
    <row r="412" ht="15.75" customHeight="1">
      <c r="A412" s="1"/>
      <c r="B412" s="1"/>
      <c r="C412" s="1"/>
      <c r="D412" s="1"/>
    </row>
    <row r="413" ht="15.75" customHeight="1">
      <c r="A413" s="1"/>
      <c r="B413" s="1"/>
      <c r="C413" s="1"/>
      <c r="D413" s="1"/>
    </row>
    <row r="414" ht="15.75" customHeight="1">
      <c r="A414" s="1"/>
      <c r="B414" s="1"/>
      <c r="C414" s="1"/>
      <c r="D414" s="1"/>
    </row>
    <row r="415" ht="15.75" customHeight="1">
      <c r="A415" s="1"/>
      <c r="B415" s="1"/>
      <c r="C415" s="1"/>
      <c r="D415" s="1"/>
    </row>
    <row r="416" ht="15.75" customHeight="1">
      <c r="A416" s="1"/>
      <c r="B416" s="1"/>
      <c r="C416" s="1"/>
      <c r="D416" s="1"/>
    </row>
    <row r="417" ht="15.75" customHeight="1">
      <c r="A417" s="1"/>
      <c r="B417" s="1"/>
      <c r="C417" s="1"/>
      <c r="D417" s="1"/>
    </row>
    <row r="418" ht="15.75" customHeight="1">
      <c r="A418" s="1"/>
      <c r="B418" s="1"/>
      <c r="C418" s="1"/>
      <c r="D418" s="1"/>
    </row>
    <row r="419" ht="15.75" customHeight="1">
      <c r="A419" s="1"/>
      <c r="B419" s="1"/>
      <c r="C419" s="1"/>
      <c r="D419" s="1"/>
    </row>
    <row r="420" ht="15.75" customHeight="1">
      <c r="A420" s="1"/>
      <c r="B420" s="1"/>
      <c r="C420" s="1"/>
      <c r="D420" s="1"/>
    </row>
    <row r="421" ht="15.75" customHeight="1">
      <c r="A421" s="1"/>
      <c r="B421" s="1"/>
      <c r="C421" s="1"/>
      <c r="D421" s="1"/>
    </row>
    <row r="422" ht="15.75" customHeight="1">
      <c r="A422" s="1"/>
      <c r="B422" s="1"/>
      <c r="C422" s="1"/>
      <c r="D422" s="1"/>
    </row>
    <row r="423" ht="15.75" customHeight="1">
      <c r="A423" s="1"/>
      <c r="B423" s="1"/>
      <c r="C423" s="1"/>
      <c r="D423" s="1"/>
    </row>
    <row r="424" ht="15.75" customHeight="1">
      <c r="A424" s="1"/>
      <c r="B424" s="1"/>
      <c r="C424" s="1"/>
      <c r="D424" s="1"/>
    </row>
    <row r="425" ht="15.75" customHeight="1">
      <c r="A425" s="1"/>
      <c r="B425" s="1"/>
      <c r="C425" s="1"/>
      <c r="D425" s="1"/>
    </row>
    <row r="426" ht="15.75" customHeight="1">
      <c r="A426" s="1"/>
      <c r="B426" s="1"/>
      <c r="C426" s="1"/>
      <c r="D426" s="1"/>
    </row>
    <row r="427" ht="15.75" customHeight="1">
      <c r="A427" s="1"/>
      <c r="B427" s="1"/>
      <c r="C427" s="1"/>
      <c r="D427" s="1"/>
    </row>
    <row r="428" ht="15.75" customHeight="1">
      <c r="A428" s="1"/>
      <c r="B428" s="1"/>
      <c r="C428" s="1"/>
      <c r="D428" s="1"/>
    </row>
    <row r="429" ht="15.75" customHeight="1">
      <c r="A429" s="1"/>
      <c r="B429" s="1"/>
      <c r="C429" s="1"/>
      <c r="D429" s="1"/>
    </row>
    <row r="430" ht="15.75" customHeight="1">
      <c r="A430" s="1"/>
      <c r="B430" s="1"/>
      <c r="C430" s="1"/>
      <c r="D430" s="1"/>
    </row>
    <row r="431" ht="15.75" customHeight="1">
      <c r="A431" s="1"/>
      <c r="B431" s="1"/>
      <c r="C431" s="1"/>
      <c r="D431" s="1"/>
    </row>
    <row r="432" ht="15.75" customHeight="1">
      <c r="A432" s="1"/>
      <c r="B432" s="1"/>
      <c r="C432" s="1"/>
      <c r="D432" s="1"/>
    </row>
    <row r="433" ht="15.75" customHeight="1">
      <c r="A433" s="1"/>
      <c r="B433" s="1"/>
      <c r="C433" s="1"/>
      <c r="D433" s="1"/>
    </row>
    <row r="434" ht="15.75" customHeight="1">
      <c r="A434" s="1"/>
      <c r="B434" s="1"/>
      <c r="C434" s="1"/>
      <c r="D434" s="1"/>
    </row>
    <row r="435" ht="15.75" customHeight="1">
      <c r="A435" s="1"/>
      <c r="B435" s="1"/>
      <c r="C435" s="1"/>
      <c r="D435" s="1"/>
    </row>
    <row r="436" ht="15.75" customHeight="1">
      <c r="A436" s="1"/>
      <c r="B436" s="1"/>
      <c r="C436" s="1"/>
      <c r="D436" s="1"/>
    </row>
    <row r="437" ht="15.75" customHeight="1">
      <c r="A437" s="1"/>
      <c r="B437" s="1"/>
      <c r="C437" s="1"/>
      <c r="D437" s="1"/>
    </row>
    <row r="438" ht="15.75" customHeight="1">
      <c r="A438" s="1"/>
      <c r="B438" s="1"/>
      <c r="C438" s="1"/>
      <c r="D438" s="1"/>
    </row>
    <row r="439" ht="15.75" customHeight="1">
      <c r="A439" s="1"/>
      <c r="B439" s="1"/>
      <c r="C439" s="1"/>
      <c r="D439" s="1"/>
    </row>
    <row r="440" ht="15.75" customHeight="1">
      <c r="A440" s="1"/>
      <c r="B440" s="1"/>
      <c r="C440" s="1"/>
      <c r="D440" s="1"/>
    </row>
    <row r="441" ht="15.75" customHeight="1">
      <c r="A441" s="1"/>
      <c r="B441" s="1"/>
      <c r="C441" s="1"/>
      <c r="D441" s="1"/>
    </row>
    <row r="442" ht="15.75" customHeight="1">
      <c r="A442" s="1"/>
      <c r="B442" s="1"/>
      <c r="C442" s="1"/>
      <c r="D442" s="1"/>
    </row>
    <row r="443" ht="15.75" customHeight="1">
      <c r="A443" s="1"/>
      <c r="B443" s="1"/>
      <c r="C443" s="1"/>
      <c r="D443" s="1"/>
    </row>
    <row r="444" ht="15.75" customHeight="1">
      <c r="A444" s="1"/>
      <c r="B444" s="1"/>
      <c r="C444" s="1"/>
      <c r="D444" s="1"/>
    </row>
    <row r="445" ht="15.75" customHeight="1">
      <c r="A445" s="1"/>
      <c r="B445" s="1"/>
      <c r="C445" s="1"/>
      <c r="D445" s="1"/>
    </row>
    <row r="446" ht="15.75" customHeight="1">
      <c r="A446" s="1"/>
      <c r="B446" s="1"/>
      <c r="C446" s="1"/>
      <c r="D446" s="1"/>
    </row>
    <row r="447" ht="15.75" customHeight="1">
      <c r="A447" s="1"/>
      <c r="B447" s="1"/>
      <c r="C447" s="1"/>
      <c r="D447" s="1"/>
    </row>
    <row r="448" ht="15.75" customHeight="1">
      <c r="A448" s="1"/>
      <c r="B448" s="1"/>
      <c r="C448" s="1"/>
      <c r="D448" s="1"/>
    </row>
    <row r="449" ht="15.75" customHeight="1">
      <c r="A449" s="1"/>
      <c r="B449" s="1"/>
      <c r="C449" s="1"/>
      <c r="D449" s="1"/>
    </row>
    <row r="450" ht="15.75" customHeight="1">
      <c r="A450" s="1"/>
      <c r="B450" s="1"/>
      <c r="C450" s="1"/>
      <c r="D450" s="1"/>
    </row>
    <row r="451" ht="15.75" customHeight="1">
      <c r="A451" s="1"/>
      <c r="B451" s="1"/>
      <c r="C451" s="1"/>
      <c r="D451" s="1"/>
    </row>
    <row r="452" ht="15.75" customHeight="1">
      <c r="A452" s="1"/>
      <c r="B452" s="1"/>
      <c r="C452" s="1"/>
      <c r="D452" s="1"/>
    </row>
    <row r="453" ht="15.75" customHeight="1">
      <c r="A453" s="1"/>
      <c r="B453" s="1"/>
      <c r="C453" s="1"/>
      <c r="D453" s="1"/>
    </row>
    <row r="454" ht="15.75" customHeight="1">
      <c r="A454" s="1"/>
      <c r="B454" s="1"/>
      <c r="C454" s="1"/>
      <c r="D454" s="1"/>
    </row>
    <row r="455" ht="15.75" customHeight="1">
      <c r="A455" s="1"/>
      <c r="B455" s="1"/>
      <c r="C455" s="1"/>
      <c r="D455" s="1"/>
    </row>
    <row r="456" ht="15.75" customHeight="1">
      <c r="A456" s="1"/>
      <c r="B456" s="1"/>
      <c r="C456" s="1"/>
      <c r="D456" s="1"/>
    </row>
    <row r="457" ht="15.75" customHeight="1">
      <c r="A457" s="1"/>
      <c r="B457" s="1"/>
      <c r="C457" s="1"/>
      <c r="D457" s="1"/>
    </row>
    <row r="458" ht="15.75" customHeight="1">
      <c r="A458" s="1"/>
      <c r="B458" s="1"/>
      <c r="C458" s="1"/>
      <c r="D458" s="1"/>
    </row>
    <row r="459" ht="15.75" customHeight="1">
      <c r="A459" s="1"/>
      <c r="B459" s="1"/>
      <c r="C459" s="1"/>
      <c r="D459" s="1"/>
    </row>
    <row r="460" ht="15.75" customHeight="1">
      <c r="A460" s="1"/>
      <c r="B460" s="1"/>
      <c r="C460" s="1"/>
      <c r="D460" s="1"/>
    </row>
    <row r="461" ht="15.75" customHeight="1">
      <c r="A461" s="1"/>
      <c r="B461" s="1"/>
      <c r="C461" s="1"/>
      <c r="D461" s="1"/>
    </row>
    <row r="462" ht="15.75" customHeight="1">
      <c r="A462" s="1"/>
      <c r="B462" s="1"/>
      <c r="C462" s="1"/>
      <c r="D462" s="1"/>
    </row>
    <row r="463" ht="15.75" customHeight="1">
      <c r="A463" s="1"/>
      <c r="B463" s="1"/>
      <c r="C463" s="1"/>
      <c r="D463" s="1"/>
    </row>
    <row r="464" ht="15.75" customHeight="1">
      <c r="A464" s="1"/>
      <c r="B464" s="1"/>
      <c r="C464" s="1"/>
      <c r="D464" s="1"/>
    </row>
    <row r="465" ht="15.75" customHeight="1">
      <c r="A465" s="1"/>
      <c r="B465" s="1"/>
      <c r="C465" s="1"/>
      <c r="D465" s="1"/>
    </row>
    <row r="466" ht="15.75" customHeight="1">
      <c r="A466" s="1"/>
      <c r="B466" s="1"/>
      <c r="C466" s="1"/>
      <c r="D466" s="1"/>
    </row>
    <row r="467" ht="15.75" customHeight="1">
      <c r="A467" s="1"/>
      <c r="B467" s="1"/>
      <c r="C467" s="1"/>
      <c r="D467" s="1"/>
    </row>
    <row r="468" ht="15.75" customHeight="1">
      <c r="A468" s="1"/>
      <c r="B468" s="1"/>
      <c r="C468" s="1"/>
      <c r="D468" s="1"/>
    </row>
    <row r="469" ht="15.75" customHeight="1">
      <c r="A469" s="1"/>
      <c r="B469" s="1"/>
      <c r="C469" s="1"/>
      <c r="D469" s="1"/>
    </row>
    <row r="470" ht="15.75" customHeight="1">
      <c r="A470" s="1"/>
      <c r="B470" s="1"/>
      <c r="C470" s="1"/>
      <c r="D470" s="1"/>
    </row>
    <row r="471" ht="15.75" customHeight="1">
      <c r="A471" s="1"/>
      <c r="B471" s="1"/>
      <c r="C471" s="1"/>
      <c r="D471" s="1"/>
    </row>
    <row r="472" ht="15.75" customHeight="1">
      <c r="A472" s="1"/>
      <c r="B472" s="1"/>
      <c r="C472" s="1"/>
      <c r="D472" s="1"/>
    </row>
    <row r="473" ht="15.75" customHeight="1">
      <c r="A473" s="1"/>
      <c r="B473" s="1"/>
      <c r="C473" s="1"/>
      <c r="D473" s="1"/>
    </row>
    <row r="474" ht="15.75" customHeight="1">
      <c r="A474" s="1"/>
      <c r="B474" s="1"/>
      <c r="C474" s="1"/>
      <c r="D474" s="1"/>
    </row>
    <row r="475" ht="15.75" customHeight="1">
      <c r="A475" s="1"/>
      <c r="B475" s="1"/>
      <c r="C475" s="1"/>
      <c r="D475" s="1"/>
    </row>
    <row r="476" ht="15.75" customHeight="1">
      <c r="A476" s="1"/>
      <c r="B476" s="1"/>
      <c r="C476" s="1"/>
      <c r="D476" s="1"/>
    </row>
    <row r="477" ht="15.75" customHeight="1">
      <c r="A477" s="1"/>
      <c r="B477" s="1"/>
      <c r="C477" s="1"/>
      <c r="D477" s="1"/>
    </row>
    <row r="478" ht="15.75" customHeight="1">
      <c r="A478" s="1"/>
      <c r="B478" s="1"/>
      <c r="C478" s="1"/>
      <c r="D478" s="1"/>
    </row>
    <row r="479" ht="15.75" customHeight="1">
      <c r="A479" s="1"/>
      <c r="B479" s="1"/>
      <c r="C479" s="1"/>
      <c r="D479" s="1"/>
    </row>
    <row r="480" ht="15.75" customHeight="1">
      <c r="A480" s="1"/>
      <c r="B480" s="1"/>
      <c r="C480" s="1"/>
      <c r="D480" s="1"/>
    </row>
    <row r="481" ht="15.75" customHeight="1">
      <c r="A481" s="1"/>
      <c r="B481" s="1"/>
      <c r="C481" s="1"/>
      <c r="D481" s="1"/>
    </row>
    <row r="482" ht="15.75" customHeight="1">
      <c r="A482" s="1"/>
      <c r="B482" s="1"/>
      <c r="C482" s="1"/>
      <c r="D482" s="1"/>
    </row>
    <row r="483" ht="15.75" customHeight="1">
      <c r="A483" s="1"/>
      <c r="B483" s="1"/>
      <c r="C483" s="1"/>
      <c r="D483" s="1"/>
    </row>
    <row r="484" ht="15.75" customHeight="1">
      <c r="A484" s="1"/>
      <c r="B484" s="1"/>
      <c r="C484" s="1"/>
      <c r="D484" s="1"/>
    </row>
    <row r="485" ht="15.75" customHeight="1">
      <c r="A485" s="1"/>
      <c r="B485" s="1"/>
      <c r="C485" s="1"/>
      <c r="D485" s="1"/>
    </row>
    <row r="486" ht="15.75" customHeight="1">
      <c r="A486" s="1"/>
      <c r="B486" s="1"/>
      <c r="C486" s="1"/>
      <c r="D486" s="1"/>
    </row>
    <row r="487" ht="15.75" customHeight="1">
      <c r="A487" s="1"/>
      <c r="B487" s="1"/>
      <c r="C487" s="1"/>
      <c r="D487" s="1"/>
    </row>
    <row r="488" ht="15.75" customHeight="1">
      <c r="A488" s="1"/>
      <c r="B488" s="1"/>
      <c r="C488" s="1"/>
      <c r="D488" s="1"/>
    </row>
    <row r="489" ht="15.75" customHeight="1">
      <c r="A489" s="1"/>
      <c r="B489" s="1"/>
      <c r="C489" s="1"/>
      <c r="D489" s="1"/>
    </row>
    <row r="490" ht="15.75" customHeight="1">
      <c r="A490" s="1"/>
      <c r="B490" s="1"/>
      <c r="C490" s="1"/>
      <c r="D490" s="1"/>
    </row>
    <row r="491" ht="15.75" customHeight="1">
      <c r="A491" s="1"/>
      <c r="B491" s="1"/>
      <c r="C491" s="1"/>
      <c r="D491" s="1"/>
    </row>
    <row r="492" ht="15.75" customHeight="1">
      <c r="A492" s="1"/>
      <c r="B492" s="1"/>
      <c r="C492" s="1"/>
      <c r="D492" s="1"/>
    </row>
    <row r="493" ht="15.75" customHeight="1">
      <c r="A493" s="1"/>
      <c r="B493" s="1"/>
      <c r="C493" s="1"/>
      <c r="D493" s="1"/>
    </row>
    <row r="494" ht="15.75" customHeight="1">
      <c r="A494" s="1"/>
      <c r="B494" s="1"/>
      <c r="C494" s="1"/>
      <c r="D494" s="1"/>
    </row>
    <row r="495" ht="15.75" customHeight="1">
      <c r="A495" s="1"/>
      <c r="B495" s="1"/>
      <c r="C495" s="1"/>
      <c r="D495" s="1"/>
    </row>
    <row r="496" ht="15.75" customHeight="1">
      <c r="A496" s="1"/>
      <c r="B496" s="1"/>
      <c r="C496" s="1"/>
      <c r="D496" s="1"/>
    </row>
    <row r="497" ht="15.75" customHeight="1">
      <c r="A497" s="1"/>
      <c r="B497" s="1"/>
      <c r="C497" s="1"/>
      <c r="D497" s="1"/>
    </row>
    <row r="498" ht="15.75" customHeight="1">
      <c r="A498" s="1"/>
      <c r="B498" s="1"/>
      <c r="C498" s="1"/>
      <c r="D498" s="1"/>
    </row>
    <row r="499" ht="15.75" customHeight="1">
      <c r="A499" s="1"/>
      <c r="B499" s="1"/>
      <c r="C499" s="1"/>
      <c r="D499" s="1"/>
    </row>
    <row r="500" ht="15.75" customHeight="1">
      <c r="A500" s="1"/>
      <c r="B500" s="1"/>
      <c r="C500" s="1"/>
      <c r="D500" s="1"/>
    </row>
    <row r="501" ht="15.75" customHeight="1">
      <c r="A501" s="1"/>
      <c r="B501" s="1"/>
      <c r="C501" s="1"/>
      <c r="D501" s="1"/>
    </row>
    <row r="502" ht="15.75" customHeight="1">
      <c r="A502" s="1"/>
      <c r="B502" s="1"/>
      <c r="C502" s="1"/>
      <c r="D502" s="1"/>
    </row>
    <row r="503" ht="15.75" customHeight="1">
      <c r="A503" s="1"/>
      <c r="B503" s="1"/>
      <c r="C503" s="1"/>
      <c r="D503" s="1"/>
    </row>
    <row r="504" ht="15.75" customHeight="1">
      <c r="A504" s="1"/>
      <c r="B504" s="1"/>
      <c r="C504" s="1"/>
      <c r="D504" s="1"/>
    </row>
    <row r="505" ht="15.75" customHeight="1">
      <c r="A505" s="1"/>
      <c r="B505" s="1"/>
      <c r="C505" s="1"/>
      <c r="D505" s="1"/>
    </row>
    <row r="506" ht="15.75" customHeight="1">
      <c r="A506" s="1"/>
      <c r="B506" s="1"/>
      <c r="C506" s="1"/>
      <c r="D506" s="1"/>
    </row>
    <row r="507" ht="15.75" customHeight="1">
      <c r="A507" s="1"/>
      <c r="B507" s="1"/>
      <c r="C507" s="1"/>
      <c r="D507" s="1"/>
    </row>
    <row r="508" ht="15.75" customHeight="1">
      <c r="A508" s="1"/>
      <c r="B508" s="1"/>
      <c r="C508" s="1"/>
      <c r="D508" s="1"/>
    </row>
    <row r="509" ht="15.75" customHeight="1">
      <c r="A509" s="1"/>
      <c r="B509" s="1"/>
      <c r="C509" s="1"/>
      <c r="D509" s="1"/>
    </row>
    <row r="510" ht="15.75" customHeight="1">
      <c r="A510" s="1"/>
      <c r="B510" s="1"/>
      <c r="C510" s="1"/>
      <c r="D510" s="1"/>
    </row>
    <row r="511" ht="15.75" customHeight="1">
      <c r="A511" s="1"/>
      <c r="B511" s="1"/>
      <c r="C511" s="1"/>
      <c r="D511" s="1"/>
    </row>
    <row r="512" ht="15.75" customHeight="1">
      <c r="A512" s="1"/>
      <c r="B512" s="1"/>
      <c r="C512" s="1"/>
      <c r="D512" s="1"/>
    </row>
    <row r="513" ht="15.75" customHeight="1">
      <c r="A513" s="1"/>
      <c r="B513" s="1"/>
      <c r="C513" s="1"/>
      <c r="D513" s="1"/>
    </row>
    <row r="514" ht="15.75" customHeight="1">
      <c r="A514" s="1"/>
      <c r="B514" s="1"/>
      <c r="C514" s="1"/>
      <c r="D514" s="1"/>
    </row>
    <row r="515" ht="15.75" customHeight="1">
      <c r="A515" s="1"/>
      <c r="B515" s="1"/>
      <c r="C515" s="1"/>
      <c r="D515" s="1"/>
    </row>
    <row r="516" ht="15.75" customHeight="1">
      <c r="A516" s="1"/>
      <c r="B516" s="1"/>
      <c r="C516" s="1"/>
      <c r="D516" s="1"/>
    </row>
    <row r="517" ht="15.75" customHeight="1">
      <c r="A517" s="1"/>
      <c r="B517" s="1"/>
      <c r="C517" s="1"/>
      <c r="D517" s="1"/>
    </row>
    <row r="518" ht="15.75" customHeight="1">
      <c r="A518" s="1"/>
      <c r="B518" s="1"/>
      <c r="C518" s="1"/>
      <c r="D518" s="1"/>
    </row>
    <row r="519" ht="15.75" customHeight="1">
      <c r="A519" s="1"/>
      <c r="B519" s="1"/>
      <c r="C519" s="1"/>
      <c r="D519" s="1"/>
    </row>
    <row r="520" ht="15.75" customHeight="1">
      <c r="A520" s="1"/>
      <c r="B520" s="1"/>
      <c r="C520" s="1"/>
      <c r="D520" s="1"/>
    </row>
    <row r="521" ht="15.75" customHeight="1">
      <c r="A521" s="1"/>
      <c r="B521" s="1"/>
      <c r="C521" s="1"/>
      <c r="D521" s="1"/>
    </row>
    <row r="522" ht="15.75" customHeight="1">
      <c r="A522" s="1"/>
      <c r="B522" s="1"/>
      <c r="C522" s="1"/>
      <c r="D522" s="1"/>
    </row>
    <row r="523" ht="15.75" customHeight="1">
      <c r="A523" s="1"/>
      <c r="B523" s="1"/>
      <c r="C523" s="1"/>
      <c r="D523" s="1"/>
    </row>
    <row r="524" ht="15.75" customHeight="1">
      <c r="A524" s="1"/>
      <c r="B524" s="1"/>
      <c r="C524" s="1"/>
      <c r="D524" s="1"/>
    </row>
    <row r="525" ht="15.75" customHeight="1">
      <c r="A525" s="1"/>
      <c r="B525" s="1"/>
      <c r="C525" s="1"/>
      <c r="D525" s="1"/>
    </row>
    <row r="526" ht="15.75" customHeight="1">
      <c r="A526" s="1"/>
      <c r="B526" s="1"/>
      <c r="C526" s="1"/>
      <c r="D526" s="1"/>
    </row>
    <row r="527" ht="15.75" customHeight="1">
      <c r="A527" s="1"/>
      <c r="B527" s="1"/>
      <c r="C527" s="1"/>
      <c r="D527" s="1"/>
    </row>
    <row r="528" ht="15.75" customHeight="1">
      <c r="A528" s="1"/>
      <c r="B528" s="1"/>
      <c r="C528" s="1"/>
      <c r="D528" s="1"/>
    </row>
    <row r="529" ht="15.75" customHeight="1">
      <c r="A529" s="1"/>
      <c r="B529" s="1"/>
      <c r="C529" s="1"/>
      <c r="D529" s="1"/>
    </row>
    <row r="530" ht="15.75" customHeight="1">
      <c r="A530" s="1"/>
      <c r="B530" s="1"/>
      <c r="C530" s="1"/>
      <c r="D530" s="1"/>
    </row>
    <row r="531" ht="15.75" customHeight="1">
      <c r="A531" s="1"/>
      <c r="B531" s="1"/>
      <c r="C531" s="1"/>
      <c r="D531" s="1"/>
    </row>
    <row r="532" ht="15.75" customHeight="1">
      <c r="A532" s="1"/>
      <c r="B532" s="1"/>
      <c r="C532" s="1"/>
      <c r="D532" s="1"/>
    </row>
    <row r="533" ht="15.75" customHeight="1">
      <c r="A533" s="1"/>
      <c r="B533" s="1"/>
      <c r="C533" s="1"/>
      <c r="D533" s="1"/>
    </row>
    <row r="534" ht="15.75" customHeight="1">
      <c r="A534" s="1"/>
      <c r="B534" s="1"/>
      <c r="C534" s="1"/>
      <c r="D534" s="1"/>
    </row>
    <row r="535" ht="15.75" customHeight="1">
      <c r="A535" s="1"/>
      <c r="B535" s="1"/>
      <c r="C535" s="1"/>
      <c r="D535" s="1"/>
    </row>
    <row r="536" ht="15.75" customHeight="1">
      <c r="A536" s="1"/>
      <c r="B536" s="1"/>
      <c r="C536" s="1"/>
      <c r="D536" s="1"/>
    </row>
    <row r="537" ht="15.75" customHeight="1">
      <c r="A537" s="1"/>
      <c r="B537" s="1"/>
      <c r="C537" s="1"/>
      <c r="D537" s="1"/>
    </row>
    <row r="538" ht="15.75" customHeight="1">
      <c r="A538" s="1"/>
      <c r="B538" s="1"/>
      <c r="C538" s="1"/>
      <c r="D538" s="1"/>
    </row>
    <row r="539" ht="15.75" customHeight="1">
      <c r="A539" s="1"/>
      <c r="B539" s="1"/>
      <c r="C539" s="1"/>
      <c r="D539" s="1"/>
    </row>
    <row r="540" ht="15.75" customHeight="1">
      <c r="A540" s="1"/>
      <c r="B540" s="1"/>
      <c r="C540" s="1"/>
      <c r="D540" s="1"/>
    </row>
    <row r="541" ht="15.75" customHeight="1">
      <c r="A541" s="1"/>
      <c r="B541" s="1"/>
      <c r="C541" s="1"/>
      <c r="D541" s="1"/>
    </row>
    <row r="542" ht="15.75" customHeight="1">
      <c r="A542" s="1"/>
      <c r="B542" s="1"/>
      <c r="C542" s="1"/>
      <c r="D542" s="1"/>
    </row>
    <row r="543" ht="15.75" customHeight="1">
      <c r="A543" s="1"/>
      <c r="B543" s="1"/>
      <c r="C543" s="1"/>
      <c r="D543" s="1"/>
    </row>
    <row r="544" ht="15.75" customHeight="1">
      <c r="A544" s="1"/>
      <c r="B544" s="1"/>
      <c r="C544" s="1"/>
      <c r="D544" s="1"/>
    </row>
    <row r="545" ht="15.75" customHeight="1">
      <c r="A545" s="1"/>
      <c r="B545" s="1"/>
      <c r="C545" s="1"/>
      <c r="D545" s="1"/>
    </row>
    <row r="546" ht="15.75" customHeight="1">
      <c r="A546" s="1"/>
      <c r="B546" s="1"/>
      <c r="C546" s="1"/>
      <c r="D546" s="1"/>
    </row>
    <row r="547" ht="15.75" customHeight="1">
      <c r="A547" s="1"/>
      <c r="B547" s="1"/>
      <c r="C547" s="1"/>
      <c r="D547" s="1"/>
    </row>
    <row r="548" ht="15.75" customHeight="1">
      <c r="A548" s="1"/>
      <c r="B548" s="1"/>
      <c r="C548" s="1"/>
      <c r="D548" s="1"/>
    </row>
    <row r="549" ht="15.75" customHeight="1">
      <c r="A549" s="1"/>
      <c r="B549" s="1"/>
      <c r="C549" s="1"/>
      <c r="D549" s="1"/>
    </row>
    <row r="550" ht="15.75" customHeight="1">
      <c r="A550" s="1"/>
      <c r="B550" s="1"/>
      <c r="C550" s="1"/>
      <c r="D550" s="1"/>
    </row>
    <row r="551" ht="15.75" customHeight="1">
      <c r="A551" s="1"/>
      <c r="B551" s="1"/>
      <c r="C551" s="1"/>
      <c r="D551" s="1"/>
    </row>
    <row r="552" ht="15.75" customHeight="1">
      <c r="A552" s="1"/>
      <c r="B552" s="1"/>
      <c r="C552" s="1"/>
      <c r="D552" s="1"/>
    </row>
    <row r="553" ht="15.75" customHeight="1">
      <c r="A553" s="1"/>
      <c r="B553" s="1"/>
      <c r="C553" s="1"/>
      <c r="D553" s="1"/>
    </row>
    <row r="554" ht="15.75" customHeight="1">
      <c r="A554" s="1"/>
      <c r="B554" s="1"/>
      <c r="C554" s="1"/>
      <c r="D554" s="1"/>
    </row>
    <row r="555" ht="15.75" customHeight="1">
      <c r="A555" s="1"/>
      <c r="B555" s="1"/>
      <c r="C555" s="1"/>
      <c r="D555" s="1"/>
    </row>
    <row r="556" ht="15.75" customHeight="1">
      <c r="A556" s="1"/>
      <c r="B556" s="1"/>
      <c r="C556" s="1"/>
      <c r="D556" s="1"/>
    </row>
    <row r="557" ht="15.75" customHeight="1">
      <c r="A557" s="1"/>
      <c r="B557" s="1"/>
      <c r="C557" s="1"/>
      <c r="D557" s="1"/>
    </row>
    <row r="558" ht="15.75" customHeight="1">
      <c r="A558" s="1"/>
      <c r="B558" s="1"/>
      <c r="C558" s="1"/>
      <c r="D558" s="1"/>
    </row>
    <row r="559" ht="15.75" customHeight="1">
      <c r="A559" s="1"/>
      <c r="B559" s="1"/>
      <c r="C559" s="1"/>
      <c r="D559" s="1"/>
    </row>
    <row r="560" ht="15.75" customHeight="1">
      <c r="A560" s="1"/>
      <c r="B560" s="1"/>
      <c r="C560" s="1"/>
      <c r="D560" s="1"/>
    </row>
    <row r="561" ht="15.75" customHeight="1">
      <c r="A561" s="1"/>
      <c r="B561" s="1"/>
      <c r="C561" s="1"/>
      <c r="D561" s="1"/>
    </row>
    <row r="562" ht="15.75" customHeight="1">
      <c r="A562" s="1"/>
      <c r="B562" s="1"/>
      <c r="C562" s="1"/>
      <c r="D562" s="1"/>
    </row>
    <row r="563" ht="15.75" customHeight="1">
      <c r="A563" s="1"/>
      <c r="B563" s="1"/>
      <c r="C563" s="1"/>
      <c r="D563" s="1"/>
    </row>
    <row r="564" ht="15.75" customHeight="1">
      <c r="A564" s="1"/>
      <c r="B564" s="1"/>
      <c r="C564" s="1"/>
      <c r="D564" s="1"/>
    </row>
    <row r="565" ht="15.75" customHeight="1">
      <c r="A565" s="1"/>
      <c r="B565" s="1"/>
      <c r="C565" s="1"/>
      <c r="D565" s="1"/>
    </row>
    <row r="566" ht="15.75" customHeight="1">
      <c r="A566" s="1"/>
      <c r="B566" s="1"/>
      <c r="C566" s="1"/>
      <c r="D566" s="1"/>
    </row>
    <row r="567" ht="15.75" customHeight="1">
      <c r="A567" s="1"/>
      <c r="B567" s="1"/>
      <c r="C567" s="1"/>
      <c r="D567" s="1"/>
    </row>
    <row r="568" ht="15.75" customHeight="1">
      <c r="A568" s="1"/>
      <c r="B568" s="1"/>
      <c r="C568" s="1"/>
      <c r="D568" s="1"/>
    </row>
    <row r="569" ht="15.75" customHeight="1">
      <c r="A569" s="1"/>
      <c r="B569" s="1"/>
      <c r="C569" s="1"/>
      <c r="D569" s="1"/>
    </row>
    <row r="570" ht="15.75" customHeight="1">
      <c r="A570" s="1"/>
      <c r="B570" s="1"/>
      <c r="C570" s="1"/>
      <c r="D570" s="1"/>
    </row>
    <row r="571" ht="15.75" customHeight="1">
      <c r="A571" s="1"/>
      <c r="B571" s="1"/>
      <c r="C571" s="1"/>
      <c r="D571" s="1"/>
    </row>
    <row r="572" ht="15.75" customHeight="1">
      <c r="A572" s="1"/>
      <c r="B572" s="1"/>
      <c r="C572" s="1"/>
      <c r="D572" s="1"/>
    </row>
    <row r="573" ht="15.75" customHeight="1">
      <c r="A573" s="1"/>
      <c r="B573" s="1"/>
      <c r="C573" s="1"/>
      <c r="D573" s="1"/>
    </row>
    <row r="574" ht="15.75" customHeight="1">
      <c r="A574" s="1"/>
      <c r="B574" s="1"/>
      <c r="C574" s="1"/>
      <c r="D574" s="1"/>
    </row>
    <row r="575" ht="15.75" customHeight="1">
      <c r="A575" s="1"/>
      <c r="B575" s="1"/>
      <c r="C575" s="1"/>
      <c r="D575" s="1"/>
    </row>
    <row r="576" ht="15.75" customHeight="1">
      <c r="A576" s="1"/>
      <c r="B576" s="1"/>
      <c r="C576" s="1"/>
      <c r="D576" s="1"/>
    </row>
    <row r="577" ht="15.75" customHeight="1">
      <c r="A577" s="1"/>
      <c r="B577" s="1"/>
      <c r="C577" s="1"/>
      <c r="D577" s="1"/>
    </row>
    <row r="578" ht="15.75" customHeight="1">
      <c r="A578" s="1"/>
      <c r="B578" s="1"/>
      <c r="C578" s="1"/>
      <c r="D578" s="1"/>
    </row>
    <row r="579" ht="15.75" customHeight="1">
      <c r="A579" s="1"/>
      <c r="B579" s="1"/>
      <c r="C579" s="1"/>
      <c r="D579" s="1"/>
    </row>
    <row r="580" ht="15.75" customHeight="1">
      <c r="A580" s="1"/>
      <c r="B580" s="1"/>
      <c r="C580" s="1"/>
      <c r="D580" s="1"/>
    </row>
    <row r="581" ht="15.75" customHeight="1">
      <c r="A581" s="1"/>
      <c r="B581" s="1"/>
      <c r="C581" s="1"/>
      <c r="D581" s="1"/>
    </row>
    <row r="582" ht="15.75" customHeight="1">
      <c r="A582" s="1"/>
      <c r="B582" s="1"/>
      <c r="C582" s="1"/>
      <c r="D582" s="1"/>
    </row>
    <row r="583" ht="15.75" customHeight="1">
      <c r="A583" s="1"/>
      <c r="B583" s="1"/>
      <c r="C583" s="1"/>
      <c r="D583" s="1"/>
    </row>
    <row r="584" ht="15.75" customHeight="1">
      <c r="A584" s="1"/>
      <c r="B584" s="1"/>
      <c r="C584" s="1"/>
      <c r="D584" s="1"/>
    </row>
    <row r="585" ht="15.75" customHeight="1">
      <c r="A585" s="1"/>
      <c r="B585" s="1"/>
      <c r="C585" s="1"/>
      <c r="D585" s="1"/>
    </row>
    <row r="586" ht="15.75" customHeight="1">
      <c r="A586" s="1"/>
      <c r="B586" s="1"/>
      <c r="C586" s="1"/>
      <c r="D586" s="1"/>
    </row>
    <row r="587" ht="15.75" customHeight="1">
      <c r="A587" s="1"/>
      <c r="B587" s="1"/>
      <c r="C587" s="1"/>
      <c r="D587" s="1"/>
    </row>
    <row r="588" ht="15.75" customHeight="1">
      <c r="A588" s="1"/>
      <c r="B588" s="1"/>
      <c r="C588" s="1"/>
      <c r="D588" s="1"/>
    </row>
    <row r="589" ht="15.75" customHeight="1">
      <c r="A589" s="1"/>
      <c r="B589" s="1"/>
      <c r="C589" s="1"/>
      <c r="D589" s="1"/>
    </row>
    <row r="590" ht="15.75" customHeight="1">
      <c r="A590" s="1"/>
      <c r="B590" s="1"/>
      <c r="C590" s="1"/>
      <c r="D590" s="1"/>
    </row>
    <row r="591" ht="15.75" customHeight="1">
      <c r="A591" s="1"/>
      <c r="B591" s="1"/>
      <c r="C591" s="1"/>
      <c r="D591" s="1"/>
    </row>
    <row r="592" ht="15.75" customHeight="1">
      <c r="A592" s="1"/>
      <c r="B592" s="1"/>
      <c r="C592" s="1"/>
      <c r="D592" s="1"/>
    </row>
    <row r="593" ht="15.75" customHeight="1">
      <c r="A593" s="1"/>
      <c r="B593" s="1"/>
      <c r="C593" s="1"/>
      <c r="D593" s="1"/>
    </row>
    <row r="594" ht="15.75" customHeight="1">
      <c r="A594" s="1"/>
      <c r="B594" s="1"/>
      <c r="C594" s="1"/>
      <c r="D594" s="1"/>
    </row>
    <row r="595" ht="15.75" customHeight="1">
      <c r="A595" s="1"/>
      <c r="B595" s="1"/>
      <c r="C595" s="1"/>
      <c r="D595" s="1"/>
    </row>
    <row r="596" ht="15.75" customHeight="1">
      <c r="A596" s="1"/>
      <c r="B596" s="1"/>
      <c r="C596" s="1"/>
      <c r="D596" s="1"/>
    </row>
    <row r="597" ht="15.75" customHeight="1">
      <c r="A597" s="1"/>
      <c r="B597" s="1"/>
      <c r="C597" s="1"/>
      <c r="D597" s="1"/>
    </row>
    <row r="598" ht="15.75" customHeight="1">
      <c r="A598" s="1"/>
      <c r="B598" s="1"/>
      <c r="C598" s="1"/>
      <c r="D598" s="1"/>
    </row>
    <row r="599" ht="15.75" customHeight="1">
      <c r="A599" s="1"/>
      <c r="B599" s="1"/>
      <c r="C599" s="1"/>
      <c r="D599" s="1"/>
    </row>
    <row r="600" ht="15.75" customHeight="1">
      <c r="A600" s="1"/>
      <c r="B600" s="1"/>
      <c r="C600" s="1"/>
      <c r="D600" s="1"/>
    </row>
    <row r="601" ht="15.75" customHeight="1">
      <c r="A601" s="1"/>
      <c r="B601" s="1"/>
      <c r="C601" s="1"/>
      <c r="D601" s="1"/>
    </row>
    <row r="602" ht="15.75" customHeight="1">
      <c r="A602" s="1"/>
      <c r="B602" s="1"/>
      <c r="C602" s="1"/>
      <c r="D602" s="1"/>
    </row>
    <row r="603" ht="15.75" customHeight="1">
      <c r="A603" s="1"/>
      <c r="B603" s="1"/>
      <c r="C603" s="1"/>
      <c r="D603" s="1"/>
    </row>
    <row r="604" ht="15.75" customHeight="1">
      <c r="A604" s="1"/>
      <c r="B604" s="1"/>
      <c r="C604" s="1"/>
      <c r="D604" s="1"/>
    </row>
    <row r="605" ht="15.75" customHeight="1">
      <c r="A605" s="1"/>
      <c r="B605" s="1"/>
      <c r="C605" s="1"/>
      <c r="D605" s="1"/>
    </row>
    <row r="606" ht="15.75" customHeight="1">
      <c r="A606" s="1"/>
      <c r="B606" s="1"/>
      <c r="C606" s="1"/>
      <c r="D606" s="1"/>
    </row>
    <row r="607" ht="15.75" customHeight="1">
      <c r="A607" s="1"/>
      <c r="B607" s="1"/>
      <c r="C607" s="1"/>
      <c r="D607" s="1"/>
    </row>
    <row r="608" ht="15.75" customHeight="1">
      <c r="A608" s="1"/>
      <c r="B608" s="1"/>
      <c r="C608" s="1"/>
      <c r="D608" s="1"/>
    </row>
    <row r="609" ht="15.75" customHeight="1">
      <c r="A609" s="1"/>
      <c r="B609" s="1"/>
      <c r="C609" s="1"/>
      <c r="D609" s="1"/>
    </row>
    <row r="610" ht="15.75" customHeight="1">
      <c r="A610" s="1"/>
      <c r="B610" s="1"/>
      <c r="C610" s="1"/>
      <c r="D610" s="1"/>
    </row>
    <row r="611" ht="15.75" customHeight="1">
      <c r="A611" s="1"/>
      <c r="B611" s="1"/>
      <c r="C611" s="1"/>
      <c r="D611" s="1"/>
    </row>
    <row r="612" ht="15.75" customHeight="1">
      <c r="A612" s="1"/>
      <c r="B612" s="1"/>
      <c r="C612" s="1"/>
      <c r="D612" s="1"/>
    </row>
    <row r="613" ht="15.75" customHeight="1">
      <c r="A613" s="1"/>
      <c r="B613" s="1"/>
      <c r="C613" s="1"/>
      <c r="D613" s="1"/>
    </row>
    <row r="614" ht="15.75" customHeight="1">
      <c r="A614" s="1"/>
      <c r="B614" s="1"/>
      <c r="C614" s="1"/>
      <c r="D614" s="1"/>
    </row>
    <row r="615" ht="15.75" customHeight="1">
      <c r="A615" s="1"/>
      <c r="B615" s="1"/>
      <c r="C615" s="1"/>
      <c r="D615" s="1"/>
    </row>
    <row r="616" ht="15.75" customHeight="1">
      <c r="A616" s="1"/>
      <c r="B616" s="1"/>
      <c r="C616" s="1"/>
      <c r="D616" s="1"/>
    </row>
    <row r="617" ht="15.75" customHeight="1">
      <c r="A617" s="1"/>
      <c r="B617" s="1"/>
      <c r="C617" s="1"/>
      <c r="D617" s="1"/>
    </row>
    <row r="618" ht="15.75" customHeight="1">
      <c r="A618" s="1"/>
      <c r="B618" s="1"/>
      <c r="C618" s="1"/>
      <c r="D618" s="1"/>
    </row>
    <row r="619" ht="15.75" customHeight="1">
      <c r="A619" s="1"/>
      <c r="B619" s="1"/>
      <c r="C619" s="1"/>
      <c r="D619" s="1"/>
    </row>
    <row r="620" ht="15.75" customHeight="1">
      <c r="A620" s="1"/>
      <c r="B620" s="1"/>
      <c r="C620" s="1"/>
      <c r="D620" s="1"/>
    </row>
    <row r="621" ht="15.75" customHeight="1">
      <c r="A621" s="1"/>
      <c r="B621" s="1"/>
      <c r="C621" s="1"/>
      <c r="D621" s="1"/>
    </row>
    <row r="622" ht="15.75" customHeight="1">
      <c r="A622" s="1"/>
      <c r="B622" s="1"/>
      <c r="C622" s="1"/>
      <c r="D622" s="1"/>
    </row>
    <row r="623" ht="15.75" customHeight="1">
      <c r="A623" s="1"/>
      <c r="B623" s="1"/>
      <c r="C623" s="1"/>
      <c r="D623" s="1"/>
    </row>
    <row r="624" ht="15.75" customHeight="1">
      <c r="A624" s="1"/>
      <c r="B624" s="1"/>
      <c r="C624" s="1"/>
      <c r="D624" s="1"/>
    </row>
    <row r="625" ht="15.75" customHeight="1">
      <c r="A625" s="1"/>
      <c r="B625" s="1"/>
      <c r="C625" s="1"/>
      <c r="D625" s="1"/>
    </row>
    <row r="626" ht="15.75" customHeight="1">
      <c r="A626" s="1"/>
      <c r="B626" s="1"/>
      <c r="C626" s="1"/>
      <c r="D626" s="1"/>
    </row>
    <row r="627" ht="15.75" customHeight="1">
      <c r="A627" s="1"/>
      <c r="B627" s="1"/>
      <c r="C627" s="1"/>
      <c r="D627" s="1"/>
    </row>
    <row r="628" ht="15.75" customHeight="1">
      <c r="A628" s="1"/>
      <c r="B628" s="1"/>
      <c r="C628" s="1"/>
      <c r="D628" s="1"/>
    </row>
    <row r="629" ht="15.75" customHeight="1">
      <c r="A629" s="1"/>
      <c r="B629" s="1"/>
      <c r="C629" s="1"/>
      <c r="D629" s="1"/>
    </row>
    <row r="630" ht="15.75" customHeight="1">
      <c r="A630" s="1"/>
      <c r="B630" s="1"/>
      <c r="C630" s="1"/>
      <c r="D630" s="1"/>
    </row>
    <row r="631" ht="15.75" customHeight="1">
      <c r="A631" s="1"/>
      <c r="B631" s="1"/>
      <c r="C631" s="1"/>
      <c r="D631" s="1"/>
    </row>
    <row r="632" ht="15.75" customHeight="1">
      <c r="A632" s="1"/>
      <c r="B632" s="1"/>
      <c r="C632" s="1"/>
      <c r="D632" s="1"/>
    </row>
    <row r="633" ht="15.75" customHeight="1">
      <c r="A633" s="1"/>
      <c r="B633" s="1"/>
      <c r="C633" s="1"/>
      <c r="D633" s="1"/>
    </row>
    <row r="634" ht="15.75" customHeight="1">
      <c r="A634" s="1"/>
      <c r="B634" s="1"/>
      <c r="C634" s="1"/>
      <c r="D634" s="1"/>
    </row>
    <row r="635" ht="15.75" customHeight="1">
      <c r="A635" s="1"/>
      <c r="B635" s="1"/>
      <c r="C635" s="1"/>
      <c r="D635" s="1"/>
    </row>
    <row r="636" ht="15.75" customHeight="1">
      <c r="A636" s="1"/>
      <c r="B636" s="1"/>
      <c r="C636" s="1"/>
      <c r="D636" s="1"/>
    </row>
    <row r="637" ht="15.75" customHeight="1">
      <c r="A637" s="1"/>
      <c r="B637" s="1"/>
      <c r="C637" s="1"/>
      <c r="D637" s="1"/>
    </row>
    <row r="638" ht="15.75" customHeight="1">
      <c r="A638" s="1"/>
      <c r="B638" s="1"/>
      <c r="C638" s="1"/>
      <c r="D638" s="1"/>
    </row>
    <row r="639" ht="15.75" customHeight="1">
      <c r="A639" s="1"/>
      <c r="B639" s="1"/>
      <c r="C639" s="1"/>
      <c r="D639" s="1"/>
    </row>
    <row r="640" ht="15.75" customHeight="1">
      <c r="A640" s="1"/>
      <c r="B640" s="1"/>
      <c r="C640" s="1"/>
      <c r="D640" s="1"/>
    </row>
    <row r="641" ht="15.75" customHeight="1">
      <c r="A641" s="1"/>
      <c r="B641" s="1"/>
      <c r="C641" s="1"/>
      <c r="D641" s="1"/>
    </row>
    <row r="642" ht="15.75" customHeight="1">
      <c r="A642" s="1"/>
      <c r="B642" s="1"/>
      <c r="C642" s="1"/>
      <c r="D642" s="1"/>
    </row>
    <row r="643" ht="15.75" customHeight="1">
      <c r="A643" s="1"/>
      <c r="B643" s="1"/>
      <c r="C643" s="1"/>
      <c r="D643" s="1"/>
    </row>
    <row r="644" ht="15.75" customHeight="1">
      <c r="A644" s="1"/>
      <c r="B644" s="1"/>
      <c r="C644" s="1"/>
      <c r="D644" s="1"/>
    </row>
    <row r="645" ht="15.75" customHeight="1">
      <c r="A645" s="1"/>
      <c r="B645" s="1"/>
      <c r="C645" s="1"/>
      <c r="D645" s="1"/>
    </row>
    <row r="646" ht="15.75" customHeight="1">
      <c r="A646" s="1"/>
      <c r="B646" s="1"/>
      <c r="C646" s="1"/>
      <c r="D646" s="1"/>
    </row>
    <row r="647" ht="15.75" customHeight="1">
      <c r="A647" s="1"/>
      <c r="B647" s="1"/>
      <c r="C647" s="1"/>
      <c r="D647" s="1"/>
    </row>
    <row r="648" ht="15.75" customHeight="1">
      <c r="A648" s="1"/>
      <c r="B648" s="1"/>
      <c r="C648" s="1"/>
      <c r="D648" s="1"/>
    </row>
    <row r="649" ht="15.75" customHeight="1">
      <c r="A649" s="1"/>
      <c r="B649" s="1"/>
      <c r="C649" s="1"/>
      <c r="D649" s="1"/>
    </row>
    <row r="650" ht="15.75" customHeight="1">
      <c r="A650" s="1"/>
      <c r="B650" s="1"/>
      <c r="C650" s="1"/>
      <c r="D650" s="1"/>
    </row>
    <row r="651" ht="15.75" customHeight="1">
      <c r="A651" s="1"/>
      <c r="B651" s="1"/>
      <c r="C651" s="1"/>
      <c r="D651" s="1"/>
    </row>
    <row r="652" ht="15.75" customHeight="1">
      <c r="A652" s="1"/>
      <c r="B652" s="1"/>
      <c r="C652" s="1"/>
      <c r="D652" s="1"/>
    </row>
    <row r="653" ht="15.75" customHeight="1">
      <c r="A653" s="1"/>
      <c r="B653" s="1"/>
      <c r="C653" s="1"/>
      <c r="D653" s="1"/>
    </row>
    <row r="654" ht="15.75" customHeight="1">
      <c r="A654" s="1"/>
      <c r="B654" s="1"/>
      <c r="C654" s="1"/>
      <c r="D654" s="1"/>
    </row>
    <row r="655" ht="15.75" customHeight="1">
      <c r="A655" s="1"/>
      <c r="B655" s="1"/>
      <c r="C655" s="1"/>
      <c r="D655" s="1"/>
    </row>
    <row r="656" ht="15.75" customHeight="1">
      <c r="A656" s="1"/>
      <c r="B656" s="1"/>
      <c r="C656" s="1"/>
      <c r="D656" s="1"/>
    </row>
    <row r="657" ht="15.75" customHeight="1">
      <c r="A657" s="1"/>
      <c r="B657" s="1"/>
      <c r="C657" s="1"/>
      <c r="D657" s="1"/>
    </row>
    <row r="658" ht="15.75" customHeight="1">
      <c r="A658" s="1"/>
      <c r="B658" s="1"/>
      <c r="C658" s="1"/>
      <c r="D658" s="1"/>
    </row>
    <row r="659" ht="15.75" customHeight="1">
      <c r="A659" s="1"/>
      <c r="B659" s="1"/>
      <c r="C659" s="1"/>
      <c r="D659" s="1"/>
    </row>
    <row r="660" ht="15.75" customHeight="1">
      <c r="A660" s="1"/>
      <c r="B660" s="1"/>
      <c r="C660" s="1"/>
      <c r="D660" s="1"/>
    </row>
    <row r="661" ht="15.75" customHeight="1">
      <c r="A661" s="1"/>
      <c r="B661" s="1"/>
      <c r="C661" s="1"/>
      <c r="D661" s="1"/>
    </row>
    <row r="662" ht="15.75" customHeight="1">
      <c r="A662" s="1"/>
      <c r="B662" s="1"/>
      <c r="C662" s="1"/>
      <c r="D662" s="1"/>
    </row>
    <row r="663" ht="15.75" customHeight="1">
      <c r="A663" s="1"/>
      <c r="B663" s="1"/>
      <c r="C663" s="1"/>
      <c r="D663" s="1"/>
    </row>
    <row r="664" ht="15.75" customHeight="1">
      <c r="A664" s="1"/>
      <c r="B664" s="1"/>
      <c r="C664" s="1"/>
      <c r="D664" s="1"/>
    </row>
    <row r="665" ht="15.75" customHeight="1">
      <c r="A665" s="1"/>
      <c r="B665" s="1"/>
      <c r="C665" s="1"/>
      <c r="D665" s="1"/>
    </row>
    <row r="666" ht="15.75" customHeight="1">
      <c r="A666" s="1"/>
      <c r="B666" s="1"/>
      <c r="C666" s="1"/>
      <c r="D666" s="1"/>
    </row>
    <row r="667" ht="15.75" customHeight="1">
      <c r="A667" s="1"/>
      <c r="B667" s="1"/>
      <c r="C667" s="1"/>
      <c r="D667" s="1"/>
    </row>
    <row r="668" ht="15.75" customHeight="1">
      <c r="A668" s="1"/>
      <c r="B668" s="1"/>
      <c r="C668" s="1"/>
      <c r="D668" s="1"/>
    </row>
    <row r="669" ht="15.75" customHeight="1">
      <c r="A669" s="1"/>
      <c r="B669" s="1"/>
      <c r="C669" s="1"/>
      <c r="D669" s="1"/>
    </row>
    <row r="670" ht="15.75" customHeight="1">
      <c r="A670" s="1"/>
      <c r="B670" s="1"/>
      <c r="C670" s="1"/>
      <c r="D670" s="1"/>
    </row>
    <row r="671" ht="15.75" customHeight="1">
      <c r="A671" s="1"/>
      <c r="B671" s="1"/>
      <c r="C671" s="1"/>
      <c r="D671" s="1"/>
    </row>
    <row r="672" ht="15.75" customHeight="1">
      <c r="A672" s="1"/>
      <c r="B672" s="1"/>
      <c r="C672" s="1"/>
      <c r="D672" s="1"/>
    </row>
    <row r="673" ht="15.75" customHeight="1">
      <c r="A673" s="1"/>
      <c r="B673" s="1"/>
      <c r="C673" s="1"/>
      <c r="D673" s="1"/>
    </row>
    <row r="674" ht="15.75" customHeight="1">
      <c r="A674" s="1"/>
      <c r="B674" s="1"/>
      <c r="C674" s="1"/>
      <c r="D674" s="1"/>
    </row>
    <row r="675" ht="15.75" customHeight="1">
      <c r="A675" s="1"/>
      <c r="B675" s="1"/>
      <c r="C675" s="1"/>
      <c r="D675" s="1"/>
    </row>
    <row r="676" ht="15.75" customHeight="1">
      <c r="A676" s="1"/>
      <c r="B676" s="1"/>
      <c r="C676" s="1"/>
      <c r="D676" s="1"/>
    </row>
    <row r="677" ht="15.75" customHeight="1">
      <c r="A677" s="1"/>
      <c r="B677" s="1"/>
      <c r="C677" s="1"/>
      <c r="D677" s="1"/>
    </row>
    <row r="678" ht="15.75" customHeight="1">
      <c r="A678" s="1"/>
      <c r="B678" s="1"/>
      <c r="C678" s="1"/>
      <c r="D678" s="1"/>
    </row>
    <row r="679" ht="15.75" customHeight="1">
      <c r="A679" s="1"/>
      <c r="B679" s="1"/>
      <c r="C679" s="1"/>
      <c r="D679" s="1"/>
    </row>
    <row r="680" ht="15.75" customHeight="1">
      <c r="A680" s="1"/>
      <c r="B680" s="1"/>
      <c r="C680" s="1"/>
      <c r="D680" s="1"/>
    </row>
    <row r="681" ht="15.75" customHeight="1">
      <c r="A681" s="1"/>
      <c r="B681" s="1"/>
      <c r="C681" s="1"/>
      <c r="D681" s="1"/>
    </row>
    <row r="682" ht="15.75" customHeight="1">
      <c r="A682" s="1"/>
      <c r="B682" s="1"/>
      <c r="C682" s="1"/>
      <c r="D682" s="1"/>
    </row>
    <row r="683" ht="15.75" customHeight="1">
      <c r="A683" s="1"/>
      <c r="B683" s="1"/>
      <c r="C683" s="1"/>
      <c r="D683" s="1"/>
    </row>
    <row r="684" ht="15.75" customHeight="1">
      <c r="A684" s="1"/>
      <c r="B684" s="1"/>
      <c r="C684" s="1"/>
      <c r="D684" s="1"/>
    </row>
    <row r="685" ht="15.75" customHeight="1">
      <c r="A685" s="1"/>
      <c r="B685" s="1"/>
      <c r="C685" s="1"/>
      <c r="D685" s="1"/>
    </row>
    <row r="686" ht="15.75" customHeight="1">
      <c r="A686" s="1"/>
      <c r="B686" s="1"/>
      <c r="C686" s="1"/>
      <c r="D686" s="1"/>
    </row>
    <row r="687" ht="15.75" customHeight="1">
      <c r="A687" s="1"/>
      <c r="B687" s="1"/>
      <c r="C687" s="1"/>
      <c r="D687" s="1"/>
    </row>
    <row r="688" ht="15.75" customHeight="1">
      <c r="A688" s="1"/>
      <c r="B688" s="1"/>
      <c r="C688" s="1"/>
      <c r="D688" s="1"/>
    </row>
    <row r="689" ht="15.75" customHeight="1">
      <c r="A689" s="1"/>
      <c r="B689" s="1"/>
      <c r="C689" s="1"/>
      <c r="D689" s="1"/>
    </row>
    <row r="690" ht="15.75" customHeight="1">
      <c r="A690" s="1"/>
      <c r="B690" s="1"/>
      <c r="C690" s="1"/>
      <c r="D690" s="1"/>
    </row>
    <row r="691" ht="15.75" customHeight="1">
      <c r="A691" s="1"/>
      <c r="B691" s="1"/>
      <c r="C691" s="1"/>
      <c r="D691" s="1"/>
    </row>
    <row r="692" ht="15.75" customHeight="1">
      <c r="A692" s="1"/>
      <c r="B692" s="1"/>
      <c r="C692" s="1"/>
      <c r="D692" s="1"/>
    </row>
    <row r="693" ht="15.75" customHeight="1">
      <c r="A693" s="1"/>
      <c r="B693" s="1"/>
      <c r="C693" s="1"/>
      <c r="D693" s="1"/>
    </row>
    <row r="694" ht="15.75" customHeight="1">
      <c r="A694" s="1"/>
      <c r="B694" s="1"/>
      <c r="C694" s="1"/>
      <c r="D694" s="1"/>
    </row>
    <row r="695" ht="15.75" customHeight="1">
      <c r="A695" s="1"/>
      <c r="B695" s="1"/>
      <c r="C695" s="1"/>
      <c r="D695" s="1"/>
    </row>
    <row r="696" ht="15.75" customHeight="1">
      <c r="A696" s="1"/>
      <c r="B696" s="1"/>
      <c r="C696" s="1"/>
      <c r="D696" s="1"/>
    </row>
    <row r="697" ht="15.75" customHeight="1">
      <c r="A697" s="1"/>
      <c r="B697" s="1"/>
      <c r="C697" s="1"/>
      <c r="D697" s="1"/>
    </row>
    <row r="698" ht="15.75" customHeight="1">
      <c r="A698" s="1"/>
      <c r="B698" s="1"/>
      <c r="C698" s="1"/>
      <c r="D698" s="1"/>
    </row>
    <row r="699" ht="15.75" customHeight="1">
      <c r="A699" s="1"/>
      <c r="B699" s="1"/>
      <c r="C699" s="1"/>
      <c r="D699" s="1"/>
    </row>
    <row r="700" ht="15.75" customHeight="1">
      <c r="A700" s="1"/>
      <c r="B700" s="1"/>
      <c r="C700" s="1"/>
      <c r="D700" s="1"/>
    </row>
    <row r="701" ht="15.75" customHeight="1">
      <c r="A701" s="1"/>
      <c r="B701" s="1"/>
      <c r="C701" s="1"/>
      <c r="D701" s="1"/>
    </row>
    <row r="702" ht="15.75" customHeight="1">
      <c r="A702" s="1"/>
      <c r="B702" s="1"/>
      <c r="C702" s="1"/>
      <c r="D702" s="1"/>
    </row>
    <row r="703" ht="15.75" customHeight="1">
      <c r="A703" s="1"/>
      <c r="B703" s="1"/>
      <c r="C703" s="1"/>
      <c r="D703" s="1"/>
    </row>
    <row r="704" ht="15.75" customHeight="1">
      <c r="A704" s="1"/>
      <c r="B704" s="1"/>
      <c r="C704" s="1"/>
      <c r="D704" s="1"/>
    </row>
    <row r="705" ht="15.75" customHeight="1">
      <c r="A705" s="1"/>
      <c r="B705" s="1"/>
      <c r="C705" s="1"/>
      <c r="D705" s="1"/>
    </row>
    <row r="706" ht="15.75" customHeight="1">
      <c r="A706" s="1"/>
      <c r="B706" s="1"/>
      <c r="C706" s="1"/>
      <c r="D706" s="1"/>
    </row>
    <row r="707" ht="15.75" customHeight="1">
      <c r="A707" s="1"/>
      <c r="B707" s="1"/>
      <c r="C707" s="1"/>
      <c r="D707" s="1"/>
    </row>
    <row r="708" ht="15.75" customHeight="1">
      <c r="A708" s="1"/>
      <c r="B708" s="1"/>
      <c r="C708" s="1"/>
      <c r="D708" s="1"/>
    </row>
    <row r="709" ht="15.75" customHeight="1">
      <c r="A709" s="1"/>
      <c r="B709" s="1"/>
      <c r="C709" s="1"/>
      <c r="D709" s="1"/>
    </row>
    <row r="710" ht="15.75" customHeight="1">
      <c r="A710" s="1"/>
      <c r="B710" s="1"/>
      <c r="C710" s="1"/>
      <c r="D710" s="1"/>
    </row>
    <row r="711" ht="15.75" customHeight="1">
      <c r="A711" s="1"/>
      <c r="B711" s="1"/>
      <c r="C711" s="1"/>
      <c r="D711" s="1"/>
    </row>
    <row r="712" ht="15.75" customHeight="1">
      <c r="A712" s="1"/>
      <c r="B712" s="1"/>
      <c r="C712" s="1"/>
      <c r="D712" s="1"/>
    </row>
    <row r="713" ht="15.75" customHeight="1">
      <c r="A713" s="1"/>
      <c r="B713" s="1"/>
      <c r="C713" s="1"/>
      <c r="D713" s="1"/>
    </row>
    <row r="714" ht="15.75" customHeight="1">
      <c r="A714" s="1"/>
      <c r="B714" s="1"/>
      <c r="C714" s="1"/>
      <c r="D714" s="1"/>
    </row>
    <row r="715" ht="15.75" customHeight="1">
      <c r="A715" s="1"/>
      <c r="B715" s="1"/>
      <c r="C715" s="1"/>
      <c r="D715" s="1"/>
    </row>
    <row r="716" ht="15.75" customHeight="1">
      <c r="A716" s="1"/>
      <c r="B716" s="1"/>
      <c r="C716" s="1"/>
      <c r="D716" s="1"/>
    </row>
    <row r="717" ht="15.75" customHeight="1">
      <c r="A717" s="1"/>
      <c r="B717" s="1"/>
      <c r="C717" s="1"/>
      <c r="D717" s="1"/>
    </row>
    <row r="718" ht="15.75" customHeight="1">
      <c r="A718" s="1"/>
      <c r="B718" s="1"/>
      <c r="C718" s="1"/>
      <c r="D718" s="1"/>
    </row>
    <row r="719" ht="15.75" customHeight="1">
      <c r="A719" s="1"/>
      <c r="B719" s="1"/>
      <c r="C719" s="1"/>
      <c r="D719" s="1"/>
    </row>
    <row r="720" ht="15.75" customHeight="1">
      <c r="A720" s="1"/>
      <c r="B720" s="1"/>
      <c r="C720" s="1"/>
      <c r="D720" s="1"/>
    </row>
    <row r="721" ht="15.75" customHeight="1">
      <c r="A721" s="1"/>
      <c r="B721" s="1"/>
      <c r="C721" s="1"/>
      <c r="D721" s="1"/>
    </row>
    <row r="722" ht="15.75" customHeight="1">
      <c r="A722" s="1"/>
      <c r="B722" s="1"/>
      <c r="C722" s="1"/>
      <c r="D722" s="1"/>
    </row>
    <row r="723" ht="15.75" customHeight="1">
      <c r="A723" s="1"/>
      <c r="B723" s="1"/>
      <c r="C723" s="1"/>
      <c r="D723" s="1"/>
    </row>
    <row r="724" ht="15.75" customHeight="1">
      <c r="A724" s="1"/>
      <c r="B724" s="1"/>
      <c r="C724" s="1"/>
      <c r="D724" s="1"/>
    </row>
    <row r="725" ht="15.75" customHeight="1">
      <c r="A725" s="1"/>
      <c r="B725" s="1"/>
      <c r="C725" s="1"/>
      <c r="D725" s="1"/>
    </row>
    <row r="726" ht="15.75" customHeight="1">
      <c r="A726" s="1"/>
      <c r="B726" s="1"/>
      <c r="C726" s="1"/>
      <c r="D726" s="1"/>
    </row>
    <row r="727" ht="15.75" customHeight="1">
      <c r="A727" s="1"/>
      <c r="B727" s="1"/>
      <c r="C727" s="1"/>
      <c r="D727" s="1"/>
    </row>
    <row r="728" ht="15.75" customHeight="1">
      <c r="A728" s="1"/>
      <c r="B728" s="1"/>
      <c r="C728" s="1"/>
      <c r="D728" s="1"/>
    </row>
    <row r="729" ht="15.75" customHeight="1">
      <c r="A729" s="1"/>
      <c r="B729" s="1"/>
      <c r="C729" s="1"/>
      <c r="D729" s="1"/>
    </row>
    <row r="730" ht="15.75" customHeight="1">
      <c r="A730" s="1"/>
      <c r="B730" s="1"/>
      <c r="C730" s="1"/>
      <c r="D730" s="1"/>
    </row>
    <row r="731" ht="15.75" customHeight="1">
      <c r="A731" s="1"/>
      <c r="B731" s="1"/>
      <c r="C731" s="1"/>
      <c r="D731" s="1"/>
    </row>
    <row r="732" ht="15.75" customHeight="1">
      <c r="A732" s="1"/>
      <c r="B732" s="1"/>
      <c r="C732" s="1"/>
      <c r="D732" s="1"/>
    </row>
    <row r="733" ht="15.75" customHeight="1">
      <c r="A733" s="1"/>
      <c r="B733" s="1"/>
      <c r="C733" s="1"/>
      <c r="D733" s="1"/>
    </row>
    <row r="734" ht="15.75" customHeight="1">
      <c r="A734" s="1"/>
      <c r="B734" s="1"/>
      <c r="C734" s="1"/>
      <c r="D734" s="1"/>
    </row>
    <row r="735" ht="15.75" customHeight="1">
      <c r="A735" s="1"/>
      <c r="B735" s="1"/>
      <c r="C735" s="1"/>
      <c r="D735" s="1"/>
    </row>
    <row r="736" ht="15.75" customHeight="1">
      <c r="A736" s="1"/>
      <c r="B736" s="1"/>
      <c r="C736" s="1"/>
      <c r="D736" s="1"/>
    </row>
    <row r="737" ht="15.75" customHeight="1">
      <c r="A737" s="1"/>
      <c r="B737" s="1"/>
      <c r="C737" s="1"/>
      <c r="D737" s="1"/>
    </row>
    <row r="738" ht="15.75" customHeight="1">
      <c r="A738" s="1"/>
      <c r="B738" s="1"/>
      <c r="C738" s="1"/>
      <c r="D738" s="1"/>
    </row>
    <row r="739" ht="15.75" customHeight="1">
      <c r="A739" s="1"/>
      <c r="B739" s="1"/>
      <c r="C739" s="1"/>
      <c r="D739" s="1"/>
    </row>
    <row r="740" ht="15.75" customHeight="1">
      <c r="A740" s="1"/>
      <c r="B740" s="1"/>
      <c r="C740" s="1"/>
      <c r="D740" s="1"/>
    </row>
    <row r="741" ht="15.75" customHeight="1">
      <c r="A741" s="1"/>
      <c r="B741" s="1"/>
      <c r="C741" s="1"/>
      <c r="D741" s="1"/>
    </row>
    <row r="742" ht="15.75" customHeight="1">
      <c r="A742" s="1"/>
      <c r="B742" s="1"/>
      <c r="C742" s="1"/>
      <c r="D742" s="1"/>
    </row>
    <row r="743" ht="15.75" customHeight="1">
      <c r="A743" s="1"/>
      <c r="B743" s="1"/>
      <c r="C743" s="1"/>
      <c r="D743" s="1"/>
    </row>
    <row r="744" ht="15.75" customHeight="1">
      <c r="A744" s="1"/>
      <c r="B744" s="1"/>
      <c r="C744" s="1"/>
      <c r="D744" s="1"/>
    </row>
    <row r="745" ht="15.75" customHeight="1">
      <c r="A745" s="1"/>
      <c r="B745" s="1"/>
      <c r="C745" s="1"/>
      <c r="D745" s="1"/>
    </row>
    <row r="746" ht="15.75" customHeight="1">
      <c r="A746" s="1"/>
      <c r="B746" s="1"/>
      <c r="C746" s="1"/>
      <c r="D746" s="1"/>
    </row>
    <row r="747" ht="15.75" customHeight="1">
      <c r="A747" s="1"/>
      <c r="B747" s="1"/>
      <c r="C747" s="1"/>
      <c r="D747" s="1"/>
    </row>
    <row r="748" ht="15.75" customHeight="1">
      <c r="A748" s="1"/>
      <c r="B748" s="1"/>
      <c r="C748" s="1"/>
      <c r="D748" s="1"/>
    </row>
    <row r="749" ht="15.75" customHeight="1">
      <c r="A749" s="1"/>
      <c r="B749" s="1"/>
      <c r="C749" s="1"/>
      <c r="D749" s="1"/>
    </row>
    <row r="750" ht="15.75" customHeight="1">
      <c r="A750" s="1"/>
      <c r="B750" s="1"/>
      <c r="C750" s="1"/>
      <c r="D750" s="1"/>
    </row>
    <row r="751" ht="15.75" customHeight="1">
      <c r="A751" s="1"/>
      <c r="B751" s="1"/>
      <c r="C751" s="1"/>
      <c r="D751" s="1"/>
    </row>
    <row r="752" ht="15.75" customHeight="1">
      <c r="A752" s="1"/>
      <c r="B752" s="1"/>
      <c r="C752" s="1"/>
      <c r="D752" s="1"/>
    </row>
    <row r="753" ht="15.75" customHeight="1">
      <c r="A753" s="1"/>
      <c r="B753" s="1"/>
      <c r="C753" s="1"/>
      <c r="D753" s="1"/>
    </row>
    <row r="754" ht="15.75" customHeight="1">
      <c r="A754" s="1"/>
      <c r="B754" s="1"/>
      <c r="C754" s="1"/>
      <c r="D754" s="1"/>
    </row>
    <row r="755" ht="15.75" customHeight="1">
      <c r="A755" s="1"/>
      <c r="B755" s="1"/>
      <c r="C755" s="1"/>
      <c r="D755" s="1"/>
    </row>
    <row r="756" ht="15.75" customHeight="1">
      <c r="A756" s="1"/>
      <c r="B756" s="1"/>
      <c r="C756" s="1"/>
      <c r="D756" s="1"/>
    </row>
    <row r="757" ht="15.75" customHeight="1">
      <c r="A757" s="1"/>
      <c r="B757" s="1"/>
      <c r="C757" s="1"/>
      <c r="D757" s="1"/>
    </row>
    <row r="758" ht="15.75" customHeight="1">
      <c r="A758" s="1"/>
      <c r="B758" s="1"/>
      <c r="C758" s="1"/>
      <c r="D758" s="1"/>
    </row>
    <row r="759" ht="15.75" customHeight="1">
      <c r="A759" s="1"/>
      <c r="B759" s="1"/>
      <c r="C759" s="1"/>
      <c r="D759" s="1"/>
    </row>
    <row r="760" ht="15.75" customHeight="1">
      <c r="A760" s="1"/>
      <c r="B760" s="1"/>
      <c r="C760" s="1"/>
      <c r="D760" s="1"/>
    </row>
    <row r="761" ht="15.75" customHeight="1">
      <c r="A761" s="1"/>
      <c r="B761" s="1"/>
      <c r="C761" s="1"/>
      <c r="D761" s="1"/>
    </row>
    <row r="762" ht="15.75" customHeight="1">
      <c r="A762" s="1"/>
      <c r="B762" s="1"/>
      <c r="C762" s="1"/>
      <c r="D762" s="1"/>
    </row>
    <row r="763" ht="15.75" customHeight="1">
      <c r="A763" s="1"/>
      <c r="B763" s="1"/>
      <c r="C763" s="1"/>
      <c r="D763" s="1"/>
    </row>
    <row r="764" ht="15.75" customHeight="1">
      <c r="A764" s="1"/>
      <c r="B764" s="1"/>
      <c r="C764" s="1"/>
      <c r="D764" s="1"/>
    </row>
    <row r="765" ht="15.75" customHeight="1">
      <c r="A765" s="1"/>
      <c r="B765" s="1"/>
      <c r="C765" s="1"/>
      <c r="D765" s="1"/>
    </row>
    <row r="766" ht="15.75" customHeight="1">
      <c r="A766" s="1"/>
      <c r="B766" s="1"/>
      <c r="C766" s="1"/>
      <c r="D766" s="1"/>
    </row>
    <row r="767" ht="15.75" customHeight="1">
      <c r="A767" s="1"/>
      <c r="B767" s="1"/>
      <c r="C767" s="1"/>
      <c r="D767" s="1"/>
    </row>
    <row r="768" ht="15.75" customHeight="1">
      <c r="A768" s="1"/>
      <c r="B768" s="1"/>
      <c r="C768" s="1"/>
      <c r="D768" s="1"/>
    </row>
    <row r="769" ht="15.75" customHeight="1">
      <c r="A769" s="1"/>
      <c r="B769" s="1"/>
      <c r="C769" s="1"/>
      <c r="D769" s="1"/>
    </row>
    <row r="770" ht="15.75" customHeight="1">
      <c r="A770" s="1"/>
      <c r="B770" s="1"/>
      <c r="C770" s="1"/>
      <c r="D770" s="1"/>
    </row>
    <row r="771" ht="15.75" customHeight="1">
      <c r="A771" s="1"/>
      <c r="B771" s="1"/>
      <c r="C771" s="1"/>
      <c r="D771" s="1"/>
    </row>
    <row r="772" ht="15.75" customHeight="1">
      <c r="A772" s="1"/>
      <c r="B772" s="1"/>
      <c r="C772" s="1"/>
      <c r="D772" s="1"/>
    </row>
    <row r="773" ht="15.75" customHeight="1">
      <c r="A773" s="1"/>
      <c r="B773" s="1"/>
      <c r="C773" s="1"/>
      <c r="D773" s="1"/>
    </row>
    <row r="774" ht="15.75" customHeight="1">
      <c r="A774" s="1"/>
      <c r="B774" s="1"/>
      <c r="C774" s="1"/>
      <c r="D774" s="1"/>
    </row>
    <row r="775" ht="15.75" customHeight="1">
      <c r="A775" s="1"/>
      <c r="B775" s="1"/>
      <c r="C775" s="1"/>
      <c r="D775" s="1"/>
    </row>
    <row r="776" ht="15.75" customHeight="1">
      <c r="A776" s="1"/>
      <c r="B776" s="1"/>
      <c r="C776" s="1"/>
      <c r="D776" s="1"/>
    </row>
    <row r="777" ht="15.75" customHeight="1">
      <c r="A777" s="1"/>
      <c r="B777" s="1"/>
      <c r="C777" s="1"/>
      <c r="D777" s="1"/>
    </row>
    <row r="778" ht="15.75" customHeight="1">
      <c r="A778" s="1"/>
      <c r="B778" s="1"/>
      <c r="C778" s="1"/>
      <c r="D778" s="1"/>
    </row>
    <row r="779" ht="15.75" customHeight="1">
      <c r="A779" s="1"/>
      <c r="B779" s="1"/>
      <c r="C779" s="1"/>
      <c r="D779" s="1"/>
    </row>
    <row r="780" ht="15.75" customHeight="1">
      <c r="A780" s="1"/>
      <c r="B780" s="1"/>
      <c r="C780" s="1"/>
      <c r="D780" s="1"/>
    </row>
    <row r="781" ht="15.75" customHeight="1">
      <c r="A781" s="1"/>
      <c r="B781" s="1"/>
      <c r="C781" s="1"/>
      <c r="D781" s="1"/>
    </row>
    <row r="782" ht="15.75" customHeight="1">
      <c r="A782" s="1"/>
      <c r="B782" s="1"/>
      <c r="C782" s="1"/>
      <c r="D782" s="1"/>
    </row>
    <row r="783" ht="15.75" customHeight="1">
      <c r="A783" s="1"/>
      <c r="B783" s="1"/>
      <c r="C783" s="1"/>
      <c r="D783" s="1"/>
    </row>
    <row r="784" ht="15.75" customHeight="1">
      <c r="A784" s="1"/>
      <c r="B784" s="1"/>
      <c r="C784" s="1"/>
      <c r="D784" s="1"/>
    </row>
    <row r="785" ht="15.75" customHeight="1">
      <c r="A785" s="1"/>
      <c r="B785" s="1"/>
      <c r="C785" s="1"/>
      <c r="D785" s="1"/>
    </row>
    <row r="786" ht="15.75" customHeight="1">
      <c r="A786" s="1"/>
      <c r="B786" s="1"/>
      <c r="C786" s="1"/>
      <c r="D786" s="1"/>
    </row>
    <row r="787" ht="15.75" customHeight="1">
      <c r="A787" s="1"/>
      <c r="B787" s="1"/>
      <c r="C787" s="1"/>
      <c r="D787" s="1"/>
    </row>
    <row r="788" ht="15.75" customHeight="1">
      <c r="A788" s="1"/>
      <c r="B788" s="1"/>
      <c r="C788" s="1"/>
      <c r="D788" s="1"/>
    </row>
    <row r="789" ht="15.75" customHeight="1">
      <c r="A789" s="1"/>
      <c r="B789" s="1"/>
      <c r="C789" s="1"/>
      <c r="D789" s="1"/>
    </row>
    <row r="790" ht="15.75" customHeight="1">
      <c r="A790" s="1"/>
      <c r="B790" s="1"/>
      <c r="C790" s="1"/>
      <c r="D790" s="1"/>
    </row>
    <row r="791" ht="15.75" customHeight="1">
      <c r="A791" s="1"/>
      <c r="B791" s="1"/>
      <c r="C791" s="1"/>
      <c r="D791" s="1"/>
    </row>
    <row r="792" ht="15.75" customHeight="1">
      <c r="A792" s="1"/>
      <c r="B792" s="1"/>
      <c r="C792" s="1"/>
      <c r="D792" s="1"/>
    </row>
    <row r="793" ht="15.75" customHeight="1">
      <c r="A793" s="1"/>
      <c r="B793" s="1"/>
      <c r="C793" s="1"/>
      <c r="D793" s="1"/>
    </row>
    <row r="794" ht="15.75" customHeight="1">
      <c r="A794" s="1"/>
      <c r="B794" s="1"/>
      <c r="C794" s="1"/>
      <c r="D794" s="1"/>
    </row>
    <row r="795" ht="15.75" customHeight="1">
      <c r="A795" s="1"/>
      <c r="B795" s="1"/>
      <c r="C795" s="1"/>
      <c r="D795" s="1"/>
    </row>
    <row r="796" ht="15.75" customHeight="1">
      <c r="A796" s="1"/>
      <c r="B796" s="1"/>
      <c r="C796" s="1"/>
      <c r="D796" s="1"/>
    </row>
    <row r="797" ht="15.75" customHeight="1">
      <c r="A797" s="1"/>
      <c r="B797" s="1"/>
      <c r="C797" s="1"/>
      <c r="D797" s="1"/>
    </row>
    <row r="798" ht="15.75" customHeight="1">
      <c r="A798" s="1"/>
      <c r="B798" s="1"/>
      <c r="C798" s="1"/>
      <c r="D798" s="1"/>
    </row>
    <row r="799" ht="15.75" customHeight="1">
      <c r="A799" s="1"/>
      <c r="B799" s="1"/>
      <c r="C799" s="1"/>
      <c r="D799" s="1"/>
    </row>
    <row r="800" ht="15.75" customHeight="1">
      <c r="A800" s="1"/>
      <c r="B800" s="1"/>
      <c r="C800" s="1"/>
      <c r="D800" s="1"/>
    </row>
    <row r="801" ht="15.75" customHeight="1">
      <c r="A801" s="1"/>
      <c r="B801" s="1"/>
      <c r="C801" s="1"/>
      <c r="D801" s="1"/>
    </row>
    <row r="802" ht="15.75" customHeight="1">
      <c r="A802" s="1"/>
      <c r="B802" s="1"/>
      <c r="C802" s="1"/>
      <c r="D802" s="1"/>
    </row>
    <row r="803" ht="15.75" customHeight="1">
      <c r="A803" s="1"/>
      <c r="B803" s="1"/>
      <c r="C803" s="1"/>
      <c r="D803" s="1"/>
    </row>
    <row r="804" ht="15.75" customHeight="1">
      <c r="A804" s="1"/>
      <c r="B804" s="1"/>
      <c r="C804" s="1"/>
      <c r="D804" s="1"/>
    </row>
    <row r="805" ht="15.75" customHeight="1">
      <c r="A805" s="1"/>
      <c r="B805" s="1"/>
      <c r="C805" s="1"/>
      <c r="D805" s="1"/>
    </row>
    <row r="806" ht="15.75" customHeight="1">
      <c r="A806" s="1"/>
      <c r="B806" s="1"/>
      <c r="C806" s="1"/>
      <c r="D806" s="1"/>
    </row>
    <row r="807" ht="15.75" customHeight="1">
      <c r="A807" s="1"/>
      <c r="B807" s="1"/>
      <c r="C807" s="1"/>
      <c r="D807" s="1"/>
    </row>
    <row r="808" ht="15.75" customHeight="1">
      <c r="A808" s="1"/>
      <c r="B808" s="1"/>
      <c r="C808" s="1"/>
      <c r="D808" s="1"/>
    </row>
    <row r="809" ht="15.75" customHeight="1">
      <c r="A809" s="1"/>
      <c r="B809" s="1"/>
      <c r="C809" s="1"/>
      <c r="D809" s="1"/>
    </row>
    <row r="810" ht="15.75" customHeight="1">
      <c r="A810" s="1"/>
      <c r="B810" s="1"/>
      <c r="C810" s="1"/>
      <c r="D810" s="1"/>
    </row>
    <row r="811" ht="15.75" customHeight="1">
      <c r="A811" s="1"/>
      <c r="B811" s="1"/>
      <c r="C811" s="1"/>
      <c r="D811" s="1"/>
    </row>
    <row r="812" ht="15.75" customHeight="1">
      <c r="A812" s="1"/>
      <c r="B812" s="1"/>
      <c r="C812" s="1"/>
      <c r="D812" s="1"/>
    </row>
    <row r="813" ht="15.75" customHeight="1">
      <c r="A813" s="1"/>
      <c r="B813" s="1"/>
      <c r="C813" s="1"/>
      <c r="D813" s="1"/>
    </row>
    <row r="814" ht="15.75" customHeight="1">
      <c r="A814" s="1"/>
      <c r="B814" s="1"/>
      <c r="C814" s="1"/>
      <c r="D814" s="1"/>
    </row>
    <row r="815" ht="15.75" customHeight="1">
      <c r="A815" s="1"/>
      <c r="B815" s="1"/>
      <c r="C815" s="1"/>
      <c r="D815" s="1"/>
    </row>
    <row r="816" ht="15.75" customHeight="1">
      <c r="A816" s="1"/>
      <c r="B816" s="1"/>
      <c r="C816" s="1"/>
      <c r="D816" s="1"/>
    </row>
    <row r="817" ht="15.75" customHeight="1">
      <c r="A817" s="1"/>
      <c r="B817" s="1"/>
      <c r="C817" s="1"/>
      <c r="D817" s="1"/>
    </row>
    <row r="818" ht="15.75" customHeight="1">
      <c r="A818" s="1"/>
      <c r="B818" s="1"/>
      <c r="C818" s="1"/>
      <c r="D818" s="1"/>
    </row>
    <row r="819" ht="15.75" customHeight="1">
      <c r="A819" s="1"/>
      <c r="B819" s="1"/>
      <c r="C819" s="1"/>
      <c r="D819" s="1"/>
    </row>
    <row r="820" ht="15.75" customHeight="1">
      <c r="A820" s="1"/>
      <c r="B820" s="1"/>
      <c r="C820" s="1"/>
      <c r="D820" s="1"/>
    </row>
    <row r="821" ht="15.75" customHeight="1">
      <c r="A821" s="1"/>
      <c r="B821" s="1"/>
      <c r="C821" s="1"/>
      <c r="D821" s="1"/>
    </row>
    <row r="822" ht="15.75" customHeight="1">
      <c r="A822" s="1"/>
      <c r="B822" s="1"/>
      <c r="C822" s="1"/>
      <c r="D822" s="1"/>
    </row>
    <row r="823" ht="15.75" customHeight="1">
      <c r="A823" s="1"/>
      <c r="B823" s="1"/>
      <c r="C823" s="1"/>
      <c r="D823" s="1"/>
    </row>
    <row r="824" ht="15.75" customHeight="1">
      <c r="A824" s="1"/>
      <c r="B824" s="1"/>
      <c r="C824" s="1"/>
      <c r="D824" s="1"/>
    </row>
    <row r="825" ht="15.75" customHeight="1">
      <c r="A825" s="1"/>
      <c r="B825" s="1"/>
      <c r="C825" s="1"/>
      <c r="D825" s="1"/>
    </row>
    <row r="826" ht="15.75" customHeight="1">
      <c r="A826" s="1"/>
      <c r="B826" s="1"/>
      <c r="C826" s="1"/>
      <c r="D826" s="1"/>
    </row>
    <row r="827" ht="15.75" customHeight="1">
      <c r="A827" s="1"/>
      <c r="B827" s="1"/>
      <c r="C827" s="1"/>
      <c r="D827" s="1"/>
    </row>
    <row r="828" ht="15.75" customHeight="1">
      <c r="A828" s="1"/>
      <c r="B828" s="1"/>
      <c r="C828" s="1"/>
      <c r="D828" s="1"/>
    </row>
    <row r="829" ht="15.75" customHeight="1">
      <c r="A829" s="1"/>
      <c r="B829" s="1"/>
      <c r="C829" s="1"/>
      <c r="D829" s="1"/>
    </row>
    <row r="830" ht="15.75" customHeight="1">
      <c r="A830" s="1"/>
      <c r="B830" s="1"/>
      <c r="C830" s="1"/>
      <c r="D830" s="1"/>
    </row>
    <row r="831" ht="15.75" customHeight="1">
      <c r="A831" s="1"/>
      <c r="B831" s="1"/>
      <c r="C831" s="1"/>
      <c r="D831" s="1"/>
    </row>
    <row r="832" ht="15.75" customHeight="1">
      <c r="A832" s="1"/>
      <c r="B832" s="1"/>
      <c r="C832" s="1"/>
      <c r="D832" s="1"/>
    </row>
    <row r="833" ht="15.75" customHeight="1">
      <c r="A833" s="1"/>
      <c r="B833" s="1"/>
      <c r="C833" s="1"/>
      <c r="D833" s="1"/>
    </row>
    <row r="834" ht="15.75" customHeight="1">
      <c r="A834" s="1"/>
      <c r="B834" s="1"/>
      <c r="C834" s="1"/>
      <c r="D834" s="1"/>
    </row>
    <row r="835" ht="15.75" customHeight="1">
      <c r="A835" s="1"/>
      <c r="B835" s="1"/>
      <c r="C835" s="1"/>
      <c r="D835" s="1"/>
    </row>
    <row r="836" ht="15.75" customHeight="1">
      <c r="A836" s="1"/>
      <c r="B836" s="1"/>
      <c r="C836" s="1"/>
      <c r="D836" s="1"/>
    </row>
    <row r="837" ht="15.75" customHeight="1">
      <c r="A837" s="1"/>
      <c r="B837" s="1"/>
      <c r="C837" s="1"/>
      <c r="D837" s="1"/>
    </row>
    <row r="838" ht="15.75" customHeight="1">
      <c r="A838" s="1"/>
      <c r="B838" s="1"/>
      <c r="C838" s="1"/>
      <c r="D838" s="1"/>
    </row>
    <row r="839" ht="15.75" customHeight="1">
      <c r="A839" s="1"/>
      <c r="B839" s="1"/>
      <c r="C839" s="1"/>
      <c r="D839" s="1"/>
    </row>
    <row r="840" ht="15.75" customHeight="1">
      <c r="A840" s="1"/>
      <c r="B840" s="1"/>
      <c r="C840" s="1"/>
      <c r="D840" s="1"/>
    </row>
    <row r="841" ht="15.75" customHeight="1">
      <c r="A841" s="1"/>
      <c r="B841" s="1"/>
      <c r="C841" s="1"/>
      <c r="D841" s="1"/>
    </row>
    <row r="842" ht="15.75" customHeight="1">
      <c r="A842" s="1"/>
      <c r="B842" s="1"/>
      <c r="C842" s="1"/>
      <c r="D842" s="1"/>
    </row>
    <row r="843" ht="15.75" customHeight="1">
      <c r="A843" s="1"/>
      <c r="B843" s="1"/>
      <c r="C843" s="1"/>
      <c r="D843" s="1"/>
    </row>
    <row r="844" ht="15.75" customHeight="1">
      <c r="A844" s="1"/>
      <c r="B844" s="1"/>
      <c r="C844" s="1"/>
      <c r="D844" s="1"/>
    </row>
    <row r="845" ht="15.75" customHeight="1">
      <c r="A845" s="1"/>
      <c r="B845" s="1"/>
      <c r="C845" s="1"/>
      <c r="D845" s="1"/>
    </row>
    <row r="846" ht="15.75" customHeight="1">
      <c r="A846" s="1"/>
      <c r="B846" s="1"/>
      <c r="C846" s="1"/>
      <c r="D846" s="1"/>
    </row>
    <row r="847" ht="15.75" customHeight="1">
      <c r="A847" s="1"/>
      <c r="B847" s="1"/>
      <c r="C847" s="1"/>
      <c r="D847" s="1"/>
    </row>
    <row r="848" ht="15.75" customHeight="1">
      <c r="A848" s="1"/>
      <c r="B848" s="1"/>
      <c r="C848" s="1"/>
      <c r="D848" s="1"/>
    </row>
    <row r="849" ht="15.75" customHeight="1">
      <c r="A849" s="1"/>
      <c r="B849" s="1"/>
      <c r="C849" s="1"/>
      <c r="D849" s="1"/>
    </row>
    <row r="850" ht="15.75" customHeight="1">
      <c r="A850" s="1"/>
      <c r="B850" s="1"/>
      <c r="C850" s="1"/>
      <c r="D850" s="1"/>
    </row>
    <row r="851" ht="15.75" customHeight="1">
      <c r="A851" s="1"/>
      <c r="B851" s="1"/>
      <c r="C851" s="1"/>
      <c r="D851" s="1"/>
    </row>
    <row r="852" ht="15.75" customHeight="1">
      <c r="A852" s="1"/>
      <c r="B852" s="1"/>
      <c r="C852" s="1"/>
      <c r="D852" s="1"/>
    </row>
    <row r="853" ht="15.75" customHeight="1">
      <c r="A853" s="1"/>
      <c r="B853" s="1"/>
      <c r="C853" s="1"/>
      <c r="D853" s="1"/>
    </row>
    <row r="854" ht="15.75" customHeight="1">
      <c r="A854" s="1"/>
      <c r="B854" s="1"/>
      <c r="C854" s="1"/>
      <c r="D854" s="1"/>
    </row>
    <row r="855" ht="15.75" customHeight="1">
      <c r="A855" s="1"/>
      <c r="B855" s="1"/>
      <c r="C855" s="1"/>
      <c r="D855" s="1"/>
    </row>
    <row r="856" ht="15.75" customHeight="1">
      <c r="A856" s="1"/>
      <c r="B856" s="1"/>
      <c r="C856" s="1"/>
      <c r="D856" s="1"/>
    </row>
    <row r="857" ht="15.75" customHeight="1">
      <c r="A857" s="1"/>
      <c r="B857" s="1"/>
      <c r="C857" s="1"/>
      <c r="D857" s="1"/>
    </row>
    <row r="858" ht="15.75" customHeight="1">
      <c r="A858" s="1"/>
      <c r="B858" s="1"/>
      <c r="C858" s="1"/>
      <c r="D858" s="1"/>
    </row>
    <row r="859" ht="15.75" customHeight="1">
      <c r="A859" s="1"/>
      <c r="B859" s="1"/>
      <c r="C859" s="1"/>
      <c r="D859" s="1"/>
    </row>
    <row r="860" ht="15.75" customHeight="1">
      <c r="A860" s="1"/>
      <c r="B860" s="1"/>
      <c r="C860" s="1"/>
      <c r="D860" s="1"/>
    </row>
    <row r="861" ht="15.75" customHeight="1">
      <c r="A861" s="1"/>
      <c r="B861" s="1"/>
      <c r="C861" s="1"/>
      <c r="D861" s="1"/>
    </row>
    <row r="862" ht="15.75" customHeight="1">
      <c r="A862" s="1"/>
      <c r="B862" s="1"/>
      <c r="C862" s="1"/>
      <c r="D862" s="1"/>
    </row>
    <row r="863" ht="15.75" customHeight="1">
      <c r="A863" s="1"/>
      <c r="B863" s="1"/>
      <c r="C863" s="1"/>
      <c r="D863" s="1"/>
    </row>
    <row r="864" ht="15.75" customHeight="1">
      <c r="A864" s="1"/>
      <c r="B864" s="1"/>
      <c r="C864" s="1"/>
      <c r="D864" s="1"/>
    </row>
    <row r="865" ht="15.75" customHeight="1">
      <c r="A865" s="1"/>
      <c r="B865" s="1"/>
      <c r="C865" s="1"/>
      <c r="D865" s="1"/>
    </row>
    <row r="866" ht="15.75" customHeight="1">
      <c r="A866" s="1"/>
      <c r="B866" s="1"/>
      <c r="C866" s="1"/>
      <c r="D866" s="1"/>
    </row>
    <row r="867" ht="15.75" customHeight="1">
      <c r="A867" s="1"/>
      <c r="B867" s="1"/>
      <c r="C867" s="1"/>
      <c r="D867" s="1"/>
    </row>
    <row r="868" ht="15.75" customHeight="1">
      <c r="A868" s="1"/>
      <c r="B868" s="1"/>
      <c r="C868" s="1"/>
      <c r="D868" s="1"/>
    </row>
    <row r="869" ht="15.75" customHeight="1">
      <c r="A869" s="1"/>
      <c r="B869" s="1"/>
      <c r="C869" s="1"/>
      <c r="D869" s="1"/>
    </row>
    <row r="870" ht="15.75" customHeight="1">
      <c r="A870" s="1"/>
      <c r="B870" s="1"/>
      <c r="C870" s="1"/>
      <c r="D870" s="1"/>
    </row>
    <row r="871" ht="15.75" customHeight="1">
      <c r="A871" s="1"/>
      <c r="B871" s="1"/>
      <c r="C871" s="1"/>
      <c r="D871" s="1"/>
    </row>
    <row r="872" ht="15.75" customHeight="1">
      <c r="A872" s="1"/>
      <c r="B872" s="1"/>
      <c r="C872" s="1"/>
      <c r="D872" s="1"/>
    </row>
    <row r="873" ht="15.75" customHeight="1">
      <c r="A873" s="1"/>
      <c r="B873" s="1"/>
      <c r="C873" s="1"/>
      <c r="D873" s="1"/>
    </row>
    <row r="874" ht="15.75" customHeight="1">
      <c r="A874" s="1"/>
      <c r="B874" s="1"/>
      <c r="C874" s="1"/>
      <c r="D874" s="1"/>
    </row>
    <row r="875" ht="15.75" customHeight="1">
      <c r="A875" s="1"/>
      <c r="B875" s="1"/>
      <c r="C875" s="1"/>
      <c r="D875" s="1"/>
    </row>
    <row r="876" ht="15.75" customHeight="1">
      <c r="A876" s="1"/>
      <c r="B876" s="1"/>
      <c r="C876" s="1"/>
      <c r="D876" s="1"/>
    </row>
    <row r="877" ht="15.75" customHeight="1">
      <c r="A877" s="1"/>
      <c r="B877" s="1"/>
      <c r="C877" s="1"/>
      <c r="D877" s="1"/>
    </row>
    <row r="878" ht="15.75" customHeight="1">
      <c r="A878" s="1"/>
      <c r="B878" s="1"/>
      <c r="C878" s="1"/>
      <c r="D878" s="1"/>
    </row>
    <row r="879" ht="15.75" customHeight="1">
      <c r="A879" s="1"/>
      <c r="B879" s="1"/>
      <c r="C879" s="1"/>
      <c r="D879" s="1"/>
    </row>
    <row r="880" ht="15.75" customHeight="1">
      <c r="A880" s="1"/>
      <c r="B880" s="1"/>
      <c r="C880" s="1"/>
      <c r="D880" s="1"/>
    </row>
    <row r="881" ht="15.75" customHeight="1">
      <c r="A881" s="1"/>
      <c r="B881" s="1"/>
      <c r="C881" s="1"/>
      <c r="D881" s="1"/>
    </row>
    <row r="882" ht="15.75" customHeight="1">
      <c r="A882" s="1"/>
      <c r="B882" s="1"/>
      <c r="C882" s="1"/>
      <c r="D882" s="1"/>
    </row>
    <row r="883" ht="15.75" customHeight="1">
      <c r="A883" s="1"/>
      <c r="B883" s="1"/>
      <c r="C883" s="1"/>
      <c r="D883" s="1"/>
    </row>
    <row r="884" ht="15.75" customHeight="1">
      <c r="A884" s="1"/>
      <c r="B884" s="1"/>
      <c r="C884" s="1"/>
      <c r="D884" s="1"/>
    </row>
    <row r="885" ht="15.75" customHeight="1">
      <c r="A885" s="1"/>
      <c r="B885" s="1"/>
      <c r="C885" s="1"/>
      <c r="D885" s="1"/>
    </row>
    <row r="886" ht="15.75" customHeight="1">
      <c r="A886" s="1"/>
      <c r="B886" s="1"/>
      <c r="C886" s="1"/>
      <c r="D886" s="1"/>
    </row>
    <row r="887" ht="15.75" customHeight="1">
      <c r="A887" s="1"/>
      <c r="B887" s="1"/>
      <c r="C887" s="1"/>
      <c r="D887" s="1"/>
    </row>
    <row r="888" ht="15.75" customHeight="1">
      <c r="A888" s="1"/>
      <c r="B888" s="1"/>
      <c r="C888" s="1"/>
      <c r="D888" s="1"/>
    </row>
    <row r="889" ht="15.75" customHeight="1">
      <c r="A889" s="1"/>
      <c r="B889" s="1"/>
      <c r="C889" s="1"/>
      <c r="D889" s="1"/>
    </row>
    <row r="890" ht="15.75" customHeight="1">
      <c r="A890" s="1"/>
      <c r="B890" s="1"/>
      <c r="C890" s="1"/>
      <c r="D890" s="1"/>
    </row>
    <row r="891" ht="15.75" customHeight="1">
      <c r="A891" s="1"/>
      <c r="B891" s="1"/>
      <c r="C891" s="1"/>
      <c r="D891" s="1"/>
    </row>
    <row r="892" ht="15.75" customHeight="1">
      <c r="A892" s="1"/>
      <c r="B892" s="1"/>
      <c r="C892" s="1"/>
      <c r="D892" s="1"/>
    </row>
    <row r="893" ht="15.75" customHeight="1">
      <c r="A893" s="1"/>
      <c r="B893" s="1"/>
      <c r="C893" s="1"/>
      <c r="D893" s="1"/>
    </row>
    <row r="894" ht="15.75" customHeight="1">
      <c r="A894" s="1"/>
      <c r="B894" s="1"/>
      <c r="C894" s="1"/>
      <c r="D894" s="1"/>
    </row>
    <row r="895" ht="15.75" customHeight="1">
      <c r="A895" s="1"/>
      <c r="B895" s="1"/>
      <c r="C895" s="1"/>
      <c r="D895" s="1"/>
    </row>
    <row r="896" ht="15.75" customHeight="1">
      <c r="A896" s="1"/>
      <c r="B896" s="1"/>
      <c r="C896" s="1"/>
      <c r="D896" s="1"/>
    </row>
    <row r="897" ht="15.75" customHeight="1">
      <c r="A897" s="1"/>
      <c r="B897" s="1"/>
      <c r="C897" s="1"/>
      <c r="D897" s="1"/>
    </row>
    <row r="898" ht="15.75" customHeight="1">
      <c r="A898" s="1"/>
      <c r="B898" s="1"/>
      <c r="C898" s="1"/>
      <c r="D898" s="1"/>
    </row>
    <row r="899" ht="15.75" customHeight="1">
      <c r="A899" s="1"/>
      <c r="B899" s="1"/>
      <c r="C899" s="1"/>
      <c r="D899" s="1"/>
    </row>
    <row r="900" ht="15.75" customHeight="1">
      <c r="A900" s="1"/>
      <c r="B900" s="1"/>
      <c r="C900" s="1"/>
      <c r="D900" s="1"/>
    </row>
    <row r="901" ht="15.75" customHeight="1">
      <c r="A901" s="1"/>
      <c r="B901" s="1"/>
      <c r="C901" s="1"/>
      <c r="D901" s="1"/>
    </row>
    <row r="902" ht="15.75" customHeight="1">
      <c r="A902" s="1"/>
      <c r="B902" s="1"/>
      <c r="C902" s="1"/>
      <c r="D902" s="1"/>
    </row>
    <row r="903" ht="15.75" customHeight="1">
      <c r="A903" s="1"/>
      <c r="B903" s="1"/>
      <c r="C903" s="1"/>
      <c r="D903" s="1"/>
    </row>
    <row r="904" ht="15.75" customHeight="1">
      <c r="A904" s="1"/>
      <c r="B904" s="1"/>
      <c r="C904" s="1"/>
      <c r="D904" s="1"/>
    </row>
    <row r="905" ht="15.75" customHeight="1">
      <c r="A905" s="1"/>
      <c r="B905" s="1"/>
      <c r="C905" s="1"/>
      <c r="D905" s="1"/>
    </row>
    <row r="906" ht="15.75" customHeight="1">
      <c r="A906" s="1"/>
      <c r="B906" s="1"/>
      <c r="C906" s="1"/>
      <c r="D906" s="1"/>
    </row>
    <row r="907" ht="15.75" customHeight="1">
      <c r="A907" s="1"/>
      <c r="B907" s="1"/>
      <c r="C907" s="1"/>
      <c r="D907" s="1"/>
    </row>
    <row r="908" ht="15.75" customHeight="1">
      <c r="A908" s="1"/>
      <c r="B908" s="1"/>
      <c r="C908" s="1"/>
      <c r="D908" s="1"/>
    </row>
    <row r="909" ht="15.75" customHeight="1">
      <c r="A909" s="1"/>
      <c r="B909" s="1"/>
      <c r="C909" s="1"/>
      <c r="D909" s="1"/>
    </row>
    <row r="910" ht="15.75" customHeight="1">
      <c r="A910" s="1"/>
      <c r="B910" s="1"/>
      <c r="C910" s="1"/>
      <c r="D910" s="1"/>
    </row>
    <row r="911" ht="15.75" customHeight="1">
      <c r="A911" s="1"/>
      <c r="B911" s="1"/>
      <c r="C911" s="1"/>
      <c r="D911" s="1"/>
    </row>
    <row r="912" ht="15.75" customHeight="1">
      <c r="A912" s="1"/>
      <c r="B912" s="1"/>
      <c r="C912" s="1"/>
      <c r="D912" s="1"/>
    </row>
    <row r="913" ht="15.75" customHeight="1">
      <c r="A913" s="1"/>
      <c r="B913" s="1"/>
      <c r="C913" s="1"/>
      <c r="D913" s="1"/>
    </row>
    <row r="914" ht="15.75" customHeight="1">
      <c r="A914" s="1"/>
      <c r="B914" s="1"/>
      <c r="C914" s="1"/>
      <c r="D914" s="1"/>
    </row>
    <row r="915" ht="15.75" customHeight="1">
      <c r="A915" s="1"/>
      <c r="B915" s="1"/>
      <c r="C915" s="1"/>
      <c r="D915" s="1"/>
    </row>
    <row r="916" ht="15.75" customHeight="1">
      <c r="A916" s="1"/>
      <c r="B916" s="1"/>
      <c r="C916" s="1"/>
      <c r="D916" s="1"/>
    </row>
    <row r="917" ht="15.75" customHeight="1">
      <c r="A917" s="1"/>
      <c r="B917" s="1"/>
      <c r="C917" s="1"/>
      <c r="D917" s="1"/>
    </row>
    <row r="918" ht="15.75" customHeight="1">
      <c r="A918" s="1"/>
      <c r="B918" s="1"/>
      <c r="C918" s="1"/>
      <c r="D918" s="1"/>
    </row>
    <row r="919" ht="15.75" customHeight="1">
      <c r="A919" s="1"/>
      <c r="B919" s="1"/>
      <c r="C919" s="1"/>
      <c r="D919" s="1"/>
    </row>
    <row r="920" ht="15.75" customHeight="1">
      <c r="A920" s="1"/>
      <c r="B920" s="1"/>
      <c r="C920" s="1"/>
      <c r="D920" s="1"/>
    </row>
    <row r="921" ht="15.75" customHeight="1">
      <c r="A921" s="1"/>
      <c r="B921" s="1"/>
      <c r="C921" s="1"/>
      <c r="D921" s="1"/>
    </row>
    <row r="922" ht="15.75" customHeight="1">
      <c r="A922" s="1"/>
      <c r="B922" s="1"/>
      <c r="C922" s="1"/>
      <c r="D922" s="1"/>
    </row>
    <row r="923" ht="15.75" customHeight="1">
      <c r="A923" s="1"/>
      <c r="B923" s="1"/>
      <c r="C923" s="1"/>
      <c r="D923" s="1"/>
    </row>
    <row r="924" ht="15.75" customHeight="1">
      <c r="A924" s="1"/>
      <c r="B924" s="1"/>
      <c r="C924" s="1"/>
      <c r="D924" s="1"/>
    </row>
    <row r="925" ht="15.75" customHeight="1">
      <c r="A925" s="1"/>
      <c r="B925" s="1"/>
      <c r="C925" s="1"/>
      <c r="D925" s="1"/>
    </row>
    <row r="926" ht="15.75" customHeight="1">
      <c r="A926" s="1"/>
      <c r="B926" s="1"/>
      <c r="C926" s="1"/>
      <c r="D926" s="1"/>
    </row>
    <row r="927" ht="15.75" customHeight="1">
      <c r="A927" s="1"/>
      <c r="B927" s="1"/>
      <c r="C927" s="1"/>
      <c r="D927" s="1"/>
    </row>
    <row r="928" ht="15.75" customHeight="1">
      <c r="A928" s="1"/>
      <c r="B928" s="1"/>
      <c r="C928" s="1"/>
      <c r="D928" s="1"/>
    </row>
    <row r="929" ht="15.75" customHeight="1">
      <c r="A929" s="1"/>
      <c r="B929" s="1"/>
      <c r="C929" s="1"/>
      <c r="D929" s="1"/>
    </row>
    <row r="930" ht="15.75" customHeight="1">
      <c r="A930" s="1"/>
      <c r="B930" s="1"/>
      <c r="C930" s="1"/>
      <c r="D930" s="1"/>
    </row>
    <row r="931" ht="15.75" customHeight="1">
      <c r="A931" s="1"/>
      <c r="B931" s="1"/>
      <c r="C931" s="1"/>
      <c r="D931" s="1"/>
    </row>
    <row r="932" ht="15.75" customHeight="1">
      <c r="A932" s="1"/>
      <c r="B932" s="1"/>
      <c r="C932" s="1"/>
      <c r="D932" s="1"/>
    </row>
    <row r="933" ht="15.75" customHeight="1">
      <c r="A933" s="1"/>
      <c r="B933" s="1"/>
      <c r="C933" s="1"/>
      <c r="D933" s="1"/>
    </row>
    <row r="934" ht="15.75" customHeight="1">
      <c r="A934" s="1"/>
      <c r="B934" s="1"/>
      <c r="C934" s="1"/>
      <c r="D934" s="1"/>
    </row>
    <row r="935" ht="15.75" customHeight="1">
      <c r="A935" s="1"/>
      <c r="B935" s="1"/>
      <c r="C935" s="1"/>
      <c r="D935" s="1"/>
    </row>
    <row r="936" ht="15.75" customHeight="1">
      <c r="A936" s="1"/>
      <c r="B936" s="1"/>
      <c r="C936" s="1"/>
      <c r="D936" s="1"/>
    </row>
    <row r="937" ht="15.75" customHeight="1">
      <c r="A937" s="1"/>
      <c r="B937" s="1"/>
      <c r="C937" s="1"/>
      <c r="D937" s="1"/>
    </row>
    <row r="938" ht="15.75" customHeight="1">
      <c r="A938" s="1"/>
      <c r="B938" s="1"/>
      <c r="C938" s="1"/>
      <c r="D938" s="1"/>
    </row>
    <row r="939" ht="15.75" customHeight="1">
      <c r="A939" s="1"/>
      <c r="B939" s="1"/>
      <c r="C939" s="1"/>
      <c r="D939" s="1"/>
    </row>
    <row r="940" ht="15.75" customHeight="1">
      <c r="A940" s="1"/>
      <c r="B940" s="1"/>
      <c r="C940" s="1"/>
      <c r="D940" s="1"/>
    </row>
    <row r="941" ht="15.75" customHeight="1">
      <c r="A941" s="1"/>
      <c r="B941" s="1"/>
      <c r="C941" s="1"/>
      <c r="D941" s="1"/>
    </row>
    <row r="942" ht="15.75" customHeight="1">
      <c r="A942" s="1"/>
      <c r="B942" s="1"/>
      <c r="C942" s="1"/>
      <c r="D942" s="1"/>
    </row>
    <row r="943" ht="15.75" customHeight="1">
      <c r="A943" s="1"/>
      <c r="B943" s="1"/>
      <c r="C943" s="1"/>
      <c r="D943" s="1"/>
    </row>
    <row r="944" ht="15.75" customHeight="1">
      <c r="A944" s="1"/>
      <c r="B944" s="1"/>
      <c r="C944" s="1"/>
      <c r="D944" s="1"/>
    </row>
    <row r="945" ht="15.75" customHeight="1">
      <c r="A945" s="1"/>
      <c r="B945" s="1"/>
      <c r="C945" s="1"/>
      <c r="D945" s="1"/>
    </row>
    <row r="946" ht="15.75" customHeight="1">
      <c r="A946" s="1"/>
      <c r="B946" s="1"/>
      <c r="C946" s="1"/>
      <c r="D946" s="1"/>
    </row>
    <row r="947" ht="15.75" customHeight="1">
      <c r="A947" s="1"/>
      <c r="B947" s="1"/>
      <c r="C947" s="1"/>
      <c r="D947" s="1"/>
    </row>
    <row r="948" ht="15.75" customHeight="1">
      <c r="A948" s="1"/>
      <c r="B948" s="1"/>
      <c r="C948" s="1"/>
      <c r="D948" s="1"/>
    </row>
    <row r="949" ht="15.75" customHeight="1">
      <c r="A949" s="1"/>
      <c r="B949" s="1"/>
      <c r="C949" s="1"/>
      <c r="D949" s="1"/>
    </row>
    <row r="950" ht="15.75" customHeight="1">
      <c r="A950" s="1"/>
      <c r="B950" s="1"/>
      <c r="C950" s="1"/>
      <c r="D950" s="1"/>
    </row>
    <row r="951" ht="15.75" customHeight="1">
      <c r="A951" s="1"/>
      <c r="B951" s="1"/>
      <c r="C951" s="1"/>
      <c r="D951" s="1"/>
    </row>
    <row r="952" ht="15.75" customHeight="1">
      <c r="A952" s="1"/>
      <c r="B952" s="1"/>
      <c r="C952" s="1"/>
      <c r="D952" s="1"/>
    </row>
    <row r="953" ht="15.75" customHeight="1">
      <c r="A953" s="1"/>
      <c r="B953" s="1"/>
      <c r="C953" s="1"/>
      <c r="D953" s="1"/>
    </row>
    <row r="954" ht="15.75" customHeight="1">
      <c r="A954" s="1"/>
      <c r="B954" s="1"/>
      <c r="C954" s="1"/>
      <c r="D954" s="1"/>
    </row>
    <row r="955" ht="15.75" customHeight="1">
      <c r="A955" s="1"/>
      <c r="B955" s="1"/>
      <c r="C955" s="1"/>
      <c r="D955" s="1"/>
    </row>
    <row r="956" ht="15.75" customHeight="1">
      <c r="A956" s="1"/>
      <c r="B956" s="1"/>
      <c r="C956" s="1"/>
      <c r="D956" s="1"/>
    </row>
    <row r="957" ht="15.75" customHeight="1">
      <c r="A957" s="1"/>
      <c r="B957" s="1"/>
      <c r="C957" s="1"/>
      <c r="D957" s="1"/>
    </row>
    <row r="958" ht="15.75" customHeight="1">
      <c r="A958" s="1"/>
      <c r="B958" s="1"/>
      <c r="C958" s="1"/>
      <c r="D958" s="1"/>
    </row>
    <row r="959" ht="15.75" customHeight="1">
      <c r="A959" s="1"/>
      <c r="B959" s="1"/>
      <c r="C959" s="1"/>
      <c r="D959" s="1"/>
    </row>
    <row r="960" ht="15.75" customHeight="1">
      <c r="A960" s="1"/>
      <c r="B960" s="1"/>
      <c r="C960" s="1"/>
      <c r="D960" s="1"/>
    </row>
    <row r="961" ht="15.75" customHeight="1">
      <c r="A961" s="1"/>
      <c r="B961" s="1"/>
      <c r="C961" s="1"/>
      <c r="D961" s="1"/>
    </row>
    <row r="962" ht="15.75" customHeight="1">
      <c r="A962" s="1"/>
      <c r="B962" s="1"/>
      <c r="C962" s="1"/>
      <c r="D962" s="1"/>
    </row>
    <row r="963" ht="15.75" customHeight="1">
      <c r="A963" s="1"/>
      <c r="B963" s="1"/>
      <c r="C963" s="1"/>
      <c r="D963" s="1"/>
    </row>
    <row r="964" ht="15.75" customHeight="1">
      <c r="A964" s="1"/>
      <c r="B964" s="1"/>
      <c r="C964" s="1"/>
      <c r="D964" s="1"/>
    </row>
    <row r="965" ht="15.75" customHeight="1">
      <c r="A965" s="1"/>
      <c r="B965" s="1"/>
      <c r="C965" s="1"/>
      <c r="D965" s="1"/>
    </row>
    <row r="966" ht="15.75" customHeight="1">
      <c r="A966" s="1"/>
      <c r="B966" s="1"/>
      <c r="C966" s="1"/>
      <c r="D966" s="1"/>
    </row>
    <row r="967" ht="15.75" customHeight="1">
      <c r="A967" s="1"/>
      <c r="B967" s="1"/>
      <c r="C967" s="1"/>
      <c r="D967" s="1"/>
    </row>
    <row r="968" ht="15.75" customHeight="1">
      <c r="A968" s="1"/>
      <c r="B968" s="1"/>
      <c r="C968" s="1"/>
      <c r="D968" s="1"/>
    </row>
    <row r="969" ht="15.75" customHeight="1">
      <c r="A969" s="1"/>
      <c r="B969" s="1"/>
      <c r="C969" s="1"/>
      <c r="D969" s="1"/>
    </row>
    <row r="970" ht="15.75" customHeight="1">
      <c r="A970" s="1"/>
      <c r="B970" s="1"/>
      <c r="C970" s="1"/>
      <c r="D970" s="1"/>
    </row>
    <row r="971" ht="15.75" customHeight="1">
      <c r="A971" s="1"/>
      <c r="B971" s="1"/>
      <c r="C971" s="1"/>
      <c r="D971" s="1"/>
    </row>
    <row r="972" ht="15.75" customHeight="1">
      <c r="A972" s="1"/>
      <c r="B972" s="1"/>
      <c r="C972" s="1"/>
      <c r="D972" s="1"/>
    </row>
    <row r="973" ht="15.75" customHeight="1">
      <c r="A973" s="1"/>
      <c r="B973" s="1"/>
      <c r="C973" s="1"/>
      <c r="D973" s="1"/>
    </row>
    <row r="974" ht="15.75" customHeight="1">
      <c r="A974" s="1"/>
      <c r="B974" s="1"/>
      <c r="C974" s="1"/>
      <c r="D974" s="1"/>
    </row>
    <row r="975" ht="15.75" customHeight="1">
      <c r="A975" s="1"/>
      <c r="B975" s="1"/>
      <c r="C975" s="1"/>
      <c r="D975" s="1"/>
    </row>
    <row r="976" ht="15.75" customHeight="1">
      <c r="A976" s="1"/>
      <c r="B976" s="1"/>
      <c r="C976" s="1"/>
      <c r="D976" s="1"/>
    </row>
    <row r="977" ht="15.75" customHeight="1">
      <c r="A977" s="1"/>
      <c r="B977" s="1"/>
      <c r="C977" s="1"/>
      <c r="D977" s="1"/>
    </row>
    <row r="978" ht="15.75" customHeight="1">
      <c r="A978" s="1"/>
      <c r="B978" s="1"/>
      <c r="C978" s="1"/>
      <c r="D978" s="1"/>
    </row>
    <row r="979" ht="15.75" customHeight="1">
      <c r="A979" s="1"/>
      <c r="B979" s="1"/>
      <c r="C979" s="1"/>
      <c r="D979" s="1"/>
    </row>
    <row r="980" ht="15.75" customHeight="1">
      <c r="A980" s="1"/>
      <c r="B980" s="1"/>
      <c r="C980" s="1"/>
      <c r="D980" s="1"/>
    </row>
    <row r="981" ht="15.75" customHeight="1">
      <c r="A981" s="1"/>
      <c r="B981" s="1"/>
      <c r="C981" s="1"/>
      <c r="D981" s="1"/>
    </row>
    <row r="982" ht="15.75" customHeight="1">
      <c r="A982" s="1"/>
      <c r="B982" s="1"/>
      <c r="C982" s="1"/>
      <c r="D982" s="1"/>
    </row>
    <row r="983" ht="15.75" customHeight="1">
      <c r="A983" s="1"/>
      <c r="B983" s="1"/>
      <c r="C983" s="1"/>
      <c r="D983" s="1"/>
    </row>
    <row r="984" ht="15.75" customHeight="1">
      <c r="A984" s="1"/>
      <c r="B984" s="1"/>
      <c r="C984" s="1"/>
      <c r="D984" s="1"/>
    </row>
    <row r="985" ht="15.75" customHeight="1">
      <c r="A985" s="1"/>
      <c r="B985" s="1"/>
      <c r="C985" s="1"/>
      <c r="D985" s="1"/>
    </row>
    <row r="986" ht="15.75" customHeight="1">
      <c r="A986" s="1"/>
      <c r="B986" s="1"/>
      <c r="C986" s="1"/>
      <c r="D986" s="1"/>
    </row>
    <row r="987" ht="15.75" customHeight="1">
      <c r="A987" s="1"/>
      <c r="B987" s="1"/>
      <c r="C987" s="1"/>
      <c r="D987" s="1"/>
    </row>
    <row r="988" ht="15.75" customHeight="1">
      <c r="A988" s="1"/>
      <c r="B988" s="1"/>
      <c r="C988" s="1"/>
      <c r="D988" s="1"/>
    </row>
    <row r="989" ht="15.75" customHeight="1">
      <c r="A989" s="1"/>
      <c r="B989" s="1"/>
      <c r="C989" s="1"/>
      <c r="D989" s="1"/>
    </row>
    <row r="990" ht="15.75" customHeight="1">
      <c r="A990" s="1"/>
      <c r="B990" s="1"/>
      <c r="C990" s="1"/>
      <c r="D990" s="1"/>
    </row>
    <row r="991" ht="15.75" customHeight="1">
      <c r="A991" s="1"/>
      <c r="B991" s="1"/>
      <c r="C991" s="1"/>
      <c r="D991" s="1"/>
    </row>
    <row r="992" ht="15.75" customHeight="1">
      <c r="A992" s="1"/>
      <c r="B992" s="1"/>
      <c r="C992" s="1"/>
      <c r="D992" s="1"/>
    </row>
    <row r="993" ht="15.75" customHeight="1">
      <c r="A993" s="1"/>
      <c r="B993" s="1"/>
      <c r="C993" s="1"/>
      <c r="D993" s="1"/>
    </row>
    <row r="994" ht="15.75" customHeight="1">
      <c r="A994" s="1"/>
      <c r="B994" s="1"/>
      <c r="C994" s="1"/>
      <c r="D994" s="1"/>
    </row>
    <row r="995" ht="15.75" customHeight="1">
      <c r="A995" s="1"/>
      <c r="B995" s="1"/>
      <c r="C995" s="1"/>
      <c r="D995" s="1"/>
    </row>
    <row r="996" ht="15.75" customHeight="1">
      <c r="A996" s="1"/>
      <c r="B996" s="1"/>
      <c r="C996" s="1"/>
      <c r="D996" s="1"/>
    </row>
    <row r="997" ht="15.75" customHeight="1">
      <c r="A997" s="1"/>
      <c r="B997" s="1"/>
      <c r="C997" s="1"/>
      <c r="D997" s="1"/>
    </row>
    <row r="998" ht="15.75" customHeight="1">
      <c r="A998" s="1"/>
      <c r="B998" s="1"/>
      <c r="C998" s="1"/>
      <c r="D998" s="1"/>
    </row>
    <row r="999" ht="15.75" customHeight="1">
      <c r="A999" s="1"/>
      <c r="B999" s="1"/>
      <c r="C999" s="1"/>
      <c r="D999" s="1"/>
    </row>
    <row r="1000" ht="15.75" customHeight="1">
      <c r="A1000" s="1"/>
      <c r="B1000" s="1"/>
      <c r="C1000" s="1"/>
      <c r="D1000" s="1"/>
    </row>
  </sheetData>
  <mergeCells count="9">
    <mergeCell ref="B32:C32"/>
    <mergeCell ref="B35:C35"/>
    <mergeCell ref="B2:C2"/>
    <mergeCell ref="B3:C3"/>
    <mergeCell ref="B5:C5"/>
    <mergeCell ref="B11:C11"/>
    <mergeCell ref="B19:C19"/>
    <mergeCell ref="B23:C23"/>
    <mergeCell ref="B26:C2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57"/>
    <col customWidth="1" min="2" max="2" width="17.0"/>
    <col customWidth="1" min="3" max="8" width="5.0"/>
    <col customWidth="1" min="9" max="9" width="6.0"/>
    <col customWidth="1" min="10" max="10" width="24.29"/>
    <col customWidth="1" min="11" max="26" width="8.71"/>
  </cols>
  <sheetData>
    <row r="1" ht="25.5" customHeight="1">
      <c r="A1" s="11" t="s">
        <v>49</v>
      </c>
      <c r="B1" s="12"/>
      <c r="C1" s="12"/>
      <c r="D1" s="12"/>
      <c r="E1" s="12"/>
      <c r="F1" s="12"/>
      <c r="G1" s="12"/>
      <c r="H1" s="12"/>
      <c r="I1" s="12"/>
      <c r="J1" s="3"/>
    </row>
    <row r="2" ht="24.0" customHeight="1">
      <c r="A2" s="13" t="s">
        <v>50</v>
      </c>
      <c r="B2" s="12"/>
      <c r="C2" s="12"/>
      <c r="D2" s="12"/>
      <c r="E2" s="12"/>
      <c r="F2" s="12"/>
      <c r="G2" s="12"/>
      <c r="H2" s="12"/>
      <c r="I2" s="12"/>
      <c r="J2" s="3"/>
    </row>
    <row r="4">
      <c r="A4" s="14" t="s">
        <v>51</v>
      </c>
      <c r="B4" s="15"/>
      <c r="C4" s="15"/>
      <c r="D4" s="15"/>
      <c r="E4" s="15"/>
      <c r="F4" s="15"/>
      <c r="G4" s="15"/>
      <c r="H4" s="15"/>
      <c r="I4" s="15"/>
      <c r="J4" s="16"/>
    </row>
    <row r="5">
      <c r="A5" s="17" t="s">
        <v>52</v>
      </c>
      <c r="B5" s="17" t="s">
        <v>53</v>
      </c>
      <c r="C5" s="17" t="s">
        <v>54</v>
      </c>
      <c r="D5" s="17" t="s">
        <v>55</v>
      </c>
      <c r="E5" s="17" t="s">
        <v>56</v>
      </c>
      <c r="F5" s="17" t="s">
        <v>57</v>
      </c>
      <c r="G5" s="17" t="s">
        <v>58</v>
      </c>
      <c r="H5" s="17" t="s">
        <v>59</v>
      </c>
      <c r="I5" s="17" t="s">
        <v>60</v>
      </c>
      <c r="J5" s="17" t="s">
        <v>61</v>
      </c>
    </row>
    <row r="6">
      <c r="A6" s="18">
        <f t="shared" ref="A6:A9" si="1">IF(SUM($C$6:$C$9)=0,"-",SUMPRODUCT(--(($J$6:$J$9*1000+$I$6:$I$9*10+$G$6:$G$9)&gt;(J6*1000+I6*10+G6)))+1)</f>
        <v>1</v>
      </c>
      <c r="B6" s="19" t="s">
        <v>62</v>
      </c>
      <c r="C6" s="18">
        <f>COUNTIFS('Group Stage'!$E$4:$E$75,"Mexico",'Group Stage'!$H$4:$H$75,"&lt;&gt;")+COUNTIFS('Group Stage'!$F$4:$F$75,"Mexico",'Group Stage'!$H$4:$H$75,"&lt;&gt;")</f>
        <v>2</v>
      </c>
      <c r="D6" s="18">
        <f>SUMPRODUCT(('Group Stage'!$E$4:$E$75="Mexico")*('Group Stage'!$H$4:$H$75&lt;&gt;"")*('Group Stage'!$H$4:$H$75&gt;'Group Stage'!$I$4:$I$75))+SUMPRODUCT(('Group Stage'!$F$4:$F$75="Mexico")*('Group Stage'!$H$4:$H$75&lt;&gt;"")*('Group Stage'!$I$4:$I$75&gt;'Group Stage'!$H$4:$H$75))</f>
        <v>2</v>
      </c>
      <c r="E6" s="18">
        <f>SUMPRODUCT((('Group Stage'!$E$4:$E$75="Mexico")+('Group Stage'!$F$4:$F$75="Mexico"))*('Group Stage'!$H$4:$H$75&lt;&gt;"")*('Group Stage'!$H$4:$H$75='Group Stage'!$I$4:$I$75))</f>
        <v>0</v>
      </c>
      <c r="F6" s="18">
        <f t="shared" ref="F6:F9" si="2">C6-D6-E6</f>
        <v>0</v>
      </c>
      <c r="G6" s="18">
        <f>SUMIFS('Group Stage'!$H$4:$H$75,'Group Stage'!$E$4:$E$75,"Mexico")+SUMIFS('Group Stage'!$I$4:$I$75,'Group Stage'!$F$4:$F$75,"Mexico")</f>
        <v>3</v>
      </c>
      <c r="H6" s="18">
        <f>SUMIFS('Group Stage'!$I$4:$I$75,'Group Stage'!$E$4:$E$75,"Mexico")+SUMIFS('Group Stage'!$H$4:$H$75,'Group Stage'!$F$4:$F$75,"Mexico")</f>
        <v>0</v>
      </c>
      <c r="I6" s="18">
        <f t="shared" ref="I6:I9" si="3">G6-H6</f>
        <v>3</v>
      </c>
      <c r="J6" s="18">
        <f t="shared" ref="J6:J9" si="4">3*D6+E6</f>
        <v>6</v>
      </c>
    </row>
    <row r="7">
      <c r="A7" s="18">
        <f t="shared" si="1"/>
        <v>2</v>
      </c>
      <c r="B7" s="19" t="s">
        <v>63</v>
      </c>
      <c r="C7" s="18">
        <f>COUNTIFS('Group Stage'!$E$4:$E$75,"South Korea",'Group Stage'!$H$4:$H$75,"&lt;&gt;")+COUNTIFS('Group Stage'!$F$4:$F$75,"South Korea",'Group Stage'!$H$4:$H$75,"&lt;&gt;")</f>
        <v>2</v>
      </c>
      <c r="D7" s="18">
        <f>SUMPRODUCT(('Group Stage'!$E$4:$E$75="South Korea")*('Group Stage'!$H$4:$H$75&lt;&gt;"")*('Group Stage'!$H$4:$H$75&gt;'Group Stage'!$I$4:$I$75))+SUMPRODUCT(('Group Stage'!$F$4:$F$75="South Korea")*('Group Stage'!$H$4:$H$75&lt;&gt;"")*('Group Stage'!$I$4:$I$75&gt;'Group Stage'!$H$4:$H$75))</f>
        <v>1</v>
      </c>
      <c r="E7" s="18">
        <f>SUMPRODUCT((('Group Stage'!$E$4:$E$75="South Korea")+('Group Stage'!$F$4:$F$75="South Korea"))*('Group Stage'!$H$4:$H$75&lt;&gt;"")*('Group Stage'!$H$4:$H$75='Group Stage'!$I$4:$I$75))</f>
        <v>0</v>
      </c>
      <c r="F7" s="18">
        <f t="shared" si="2"/>
        <v>1</v>
      </c>
      <c r="G7" s="18">
        <f>SUMIFS('Group Stage'!$H$4:$H$75,'Group Stage'!$E$4:$E$75,"South Korea")+SUMIFS('Group Stage'!$I$4:$I$75,'Group Stage'!$F$4:$F$75,"South Korea")</f>
        <v>2</v>
      </c>
      <c r="H7" s="18">
        <f>SUMIFS('Group Stage'!$I$4:$I$75,'Group Stage'!$E$4:$E$75,"South Korea")+SUMIFS('Group Stage'!$H$4:$H$75,'Group Stage'!$F$4:$F$75,"South Korea")</f>
        <v>2</v>
      </c>
      <c r="I7" s="18">
        <f t="shared" si="3"/>
        <v>0</v>
      </c>
      <c r="J7" s="18">
        <f t="shared" si="4"/>
        <v>3</v>
      </c>
    </row>
    <row r="8">
      <c r="A8" s="18">
        <f t="shared" si="1"/>
        <v>3</v>
      </c>
      <c r="B8" s="19" t="s">
        <v>64</v>
      </c>
      <c r="C8" s="18">
        <f>COUNTIFS('Group Stage'!$E$4:$E$75,"Czechia",'Group Stage'!$H$4:$H$75,"&lt;&gt;")+COUNTIFS('Group Stage'!$F$4:$F$75,"Czechia",'Group Stage'!$H$4:$H$75,"&lt;&gt;")</f>
        <v>2</v>
      </c>
      <c r="D8" s="18">
        <f>SUMPRODUCT(('Group Stage'!$E$4:$E$75="Czechia")*('Group Stage'!$H$4:$H$75&lt;&gt;"")*('Group Stage'!$H$4:$H$75&gt;'Group Stage'!$I$4:$I$75))+SUMPRODUCT(('Group Stage'!$F$4:$F$75="Czechia")*('Group Stage'!$H$4:$H$75&lt;&gt;"")*('Group Stage'!$I$4:$I$75&gt;'Group Stage'!$H$4:$H$75))</f>
        <v>0</v>
      </c>
      <c r="E8" s="18">
        <f>SUMPRODUCT((('Group Stage'!$E$4:$E$75="Czechia")+('Group Stage'!$F$4:$F$75="Czechia"))*('Group Stage'!$H$4:$H$75&lt;&gt;"")*('Group Stage'!$H$4:$H$75='Group Stage'!$I$4:$I$75))</f>
        <v>1</v>
      </c>
      <c r="F8" s="18">
        <f t="shared" si="2"/>
        <v>1</v>
      </c>
      <c r="G8" s="18">
        <f>SUMIFS('Group Stage'!$H$4:$H$75,'Group Stage'!$E$4:$E$75,"Czechia")+SUMIFS('Group Stage'!$I$4:$I$75,'Group Stage'!$F$4:$F$75,"Czechia")</f>
        <v>2</v>
      </c>
      <c r="H8" s="18">
        <f>SUMIFS('Group Stage'!$I$4:$I$75,'Group Stage'!$E$4:$E$75,"Czechia")+SUMIFS('Group Stage'!$H$4:$H$75,'Group Stage'!$F$4:$F$75,"Czechia")</f>
        <v>3</v>
      </c>
      <c r="I8" s="18">
        <f t="shared" si="3"/>
        <v>-1</v>
      </c>
      <c r="J8" s="18">
        <f t="shared" si="4"/>
        <v>1</v>
      </c>
    </row>
    <row r="9">
      <c r="A9" s="18">
        <f t="shared" si="1"/>
        <v>4</v>
      </c>
      <c r="B9" s="19" t="s">
        <v>65</v>
      </c>
      <c r="C9" s="18">
        <f>COUNTIFS('Group Stage'!$E$4:$E$75,"South Africa",'Group Stage'!$H$4:$H$75,"&lt;&gt;")+COUNTIFS('Group Stage'!$F$4:$F$75,"South Africa",'Group Stage'!$H$4:$H$75,"&lt;&gt;")</f>
        <v>2</v>
      </c>
      <c r="D9" s="18">
        <f>SUMPRODUCT(('Group Stage'!$E$4:$E$75="South Africa")*('Group Stage'!$H$4:$H$75&lt;&gt;"")*('Group Stage'!$H$4:$H$75&gt;'Group Stage'!$I$4:$I$75))+SUMPRODUCT(('Group Stage'!$F$4:$F$75="South Africa")*('Group Stage'!$H$4:$H$75&lt;&gt;"")*('Group Stage'!$I$4:$I$75&gt;'Group Stage'!$H$4:$H$75))</f>
        <v>0</v>
      </c>
      <c r="E9" s="18">
        <f>SUMPRODUCT((('Group Stage'!$E$4:$E$75="South Africa")+('Group Stage'!$F$4:$F$75="South Africa"))*('Group Stage'!$H$4:$H$75&lt;&gt;"")*('Group Stage'!$H$4:$H$75='Group Stage'!$I$4:$I$75))</f>
        <v>1</v>
      </c>
      <c r="F9" s="18">
        <f t="shared" si="2"/>
        <v>1</v>
      </c>
      <c r="G9" s="18">
        <f>SUMIFS('Group Stage'!$H$4:$H$75,'Group Stage'!$E$4:$E$75,"South Africa")+SUMIFS('Group Stage'!$I$4:$I$75,'Group Stage'!$F$4:$F$75,"South Africa")</f>
        <v>1</v>
      </c>
      <c r="H9" s="18">
        <f>SUMIFS('Group Stage'!$I$4:$I$75,'Group Stage'!$E$4:$E$75,"South Africa")+SUMIFS('Group Stage'!$H$4:$H$75,'Group Stage'!$F$4:$F$75,"South Africa")</f>
        <v>3</v>
      </c>
      <c r="I9" s="18">
        <f t="shared" si="3"/>
        <v>-2</v>
      </c>
      <c r="J9" s="18">
        <f t="shared" si="4"/>
        <v>1</v>
      </c>
    </row>
    <row r="11">
      <c r="A11" s="14" t="s">
        <v>66</v>
      </c>
      <c r="B11" s="15"/>
      <c r="C11" s="15"/>
      <c r="D11" s="15"/>
      <c r="E11" s="15"/>
      <c r="F11" s="15"/>
      <c r="G11" s="15"/>
      <c r="H11" s="15"/>
      <c r="I11" s="15"/>
      <c r="J11" s="16"/>
    </row>
    <row r="12">
      <c r="A12" s="17" t="s">
        <v>52</v>
      </c>
      <c r="B12" s="17" t="s">
        <v>53</v>
      </c>
      <c r="C12" s="17" t="s">
        <v>54</v>
      </c>
      <c r="D12" s="17" t="s">
        <v>55</v>
      </c>
      <c r="E12" s="17" t="s">
        <v>56</v>
      </c>
      <c r="F12" s="17" t="s">
        <v>57</v>
      </c>
      <c r="G12" s="17" t="s">
        <v>58</v>
      </c>
      <c r="H12" s="17" t="s">
        <v>59</v>
      </c>
      <c r="I12" s="17" t="s">
        <v>60</v>
      </c>
      <c r="J12" s="17" t="s">
        <v>61</v>
      </c>
    </row>
    <row r="13">
      <c r="A13" s="18">
        <f t="shared" ref="A13:A16" si="5">IF(SUM($C$13:$C$16)=0,"-",SUMPRODUCT(--(($J$13:$J$16*1000+$I$13:$I$16*10+$G$13:$G$16)&gt;(J13*1000+I13*10+G13)))+1)</f>
        <v>1</v>
      </c>
      <c r="B13" s="19" t="s">
        <v>67</v>
      </c>
      <c r="C13" s="18">
        <f>COUNTIFS('Group Stage'!$E$4:$E$75,"Canada",'Group Stage'!$H$4:$H$75,"&lt;&gt;")+COUNTIFS('Group Stage'!$F$4:$F$75,"Canada",'Group Stage'!$H$4:$H$75,"&lt;&gt;")</f>
        <v>2</v>
      </c>
      <c r="D13" s="18">
        <f>SUMPRODUCT(('Group Stage'!$E$4:$E$75="Canada")*('Group Stage'!$H$4:$H$75&lt;&gt;"")*('Group Stage'!$H$4:$H$75&gt;'Group Stage'!$I$4:$I$75))+SUMPRODUCT(('Group Stage'!$F$4:$F$75="Canada")*('Group Stage'!$H$4:$H$75&lt;&gt;"")*('Group Stage'!$I$4:$I$75&gt;'Group Stage'!$H$4:$H$75))</f>
        <v>1</v>
      </c>
      <c r="E13" s="18">
        <f>SUMPRODUCT((('Group Stage'!$E$4:$E$75="Canada")+('Group Stage'!$F$4:$F$75="Canada"))*('Group Stage'!$H$4:$H$75&lt;&gt;"")*('Group Stage'!$H$4:$H$75='Group Stage'!$I$4:$I$75))</f>
        <v>1</v>
      </c>
      <c r="F13" s="18">
        <f t="shared" ref="F13:F16" si="6">C13-D13-E13</f>
        <v>0</v>
      </c>
      <c r="G13" s="18">
        <f>SUMIFS('Group Stage'!$H$4:$H$75,'Group Stage'!$E$4:$E$75,"Canada")+SUMIFS('Group Stage'!$I$4:$I$75,'Group Stage'!$F$4:$F$75,"Canada")</f>
        <v>7</v>
      </c>
      <c r="H13" s="18">
        <f>SUMIFS('Group Stage'!$I$4:$I$75,'Group Stage'!$E$4:$E$75,"Canada")+SUMIFS('Group Stage'!$H$4:$H$75,'Group Stage'!$F$4:$F$75,"Canada")</f>
        <v>1</v>
      </c>
      <c r="I13" s="18">
        <f t="shared" ref="I13:I16" si="7">G13-H13</f>
        <v>6</v>
      </c>
      <c r="J13" s="18">
        <f t="shared" ref="J13:J16" si="8">3*D13+E13</f>
        <v>4</v>
      </c>
    </row>
    <row r="14">
      <c r="A14" s="18">
        <f t="shared" si="5"/>
        <v>3</v>
      </c>
      <c r="B14" s="19" t="s">
        <v>68</v>
      </c>
      <c r="C14" s="18">
        <f>COUNTIFS('Group Stage'!$E$4:$E$75,"Bosnia-Herzegovina",'Group Stage'!$H$4:$H$75,"&lt;&gt;")+COUNTIFS('Group Stage'!$F$4:$F$75,"Bosnia-Herzegovina",'Group Stage'!$H$4:$H$75,"&lt;&gt;")</f>
        <v>2</v>
      </c>
      <c r="D14" s="18">
        <f>SUMPRODUCT(('Group Stage'!$E$4:$E$75="Bosnia-Herzegovina")*('Group Stage'!$H$4:$H$75&lt;&gt;"")*('Group Stage'!$H$4:$H$75&gt;'Group Stage'!$I$4:$I$75))+SUMPRODUCT(('Group Stage'!$F$4:$F$75="Bosnia-Herzegovina")*('Group Stage'!$H$4:$H$75&lt;&gt;"")*('Group Stage'!$I$4:$I$75&gt;'Group Stage'!$H$4:$H$75))</f>
        <v>0</v>
      </c>
      <c r="E14" s="18">
        <f>SUMPRODUCT((('Group Stage'!$E$4:$E$75="Bosnia-Herzegovina")+('Group Stage'!$F$4:$F$75="Bosnia-Herzegovina"))*('Group Stage'!$H$4:$H$75&lt;&gt;"")*('Group Stage'!$H$4:$H$75='Group Stage'!$I$4:$I$75))</f>
        <v>1</v>
      </c>
      <c r="F14" s="18">
        <f t="shared" si="6"/>
        <v>1</v>
      </c>
      <c r="G14" s="18">
        <f>SUMIFS('Group Stage'!$H$4:$H$75,'Group Stage'!$E$4:$E$75,"Bosnia-Herzegovina")+SUMIFS('Group Stage'!$I$4:$I$75,'Group Stage'!$F$4:$F$75,"Bosnia-Herzegovina")</f>
        <v>2</v>
      </c>
      <c r="H14" s="18">
        <f>SUMIFS('Group Stage'!$I$4:$I$75,'Group Stage'!$E$4:$E$75,"Bosnia-Herzegovina")+SUMIFS('Group Stage'!$H$4:$H$75,'Group Stage'!$F$4:$F$75,"Bosnia-Herzegovina")</f>
        <v>5</v>
      </c>
      <c r="I14" s="18">
        <f t="shared" si="7"/>
        <v>-3</v>
      </c>
      <c r="J14" s="18">
        <f t="shared" si="8"/>
        <v>1</v>
      </c>
    </row>
    <row r="15">
      <c r="A15" s="18">
        <f t="shared" si="5"/>
        <v>4</v>
      </c>
      <c r="B15" s="19" t="s">
        <v>69</v>
      </c>
      <c r="C15" s="18">
        <f>COUNTIFS('Group Stage'!$E$4:$E$75,"Qatar",'Group Stage'!$H$4:$H$75,"&lt;&gt;")+COUNTIFS('Group Stage'!$F$4:$F$75,"Qatar",'Group Stage'!$H$4:$H$75,"&lt;&gt;")</f>
        <v>2</v>
      </c>
      <c r="D15" s="18">
        <f>SUMPRODUCT(('Group Stage'!$E$4:$E$75="Qatar")*('Group Stage'!$H$4:$H$75&lt;&gt;"")*('Group Stage'!$H$4:$H$75&gt;'Group Stage'!$I$4:$I$75))+SUMPRODUCT(('Group Stage'!$F$4:$F$75="Qatar")*('Group Stage'!$H$4:$H$75&lt;&gt;"")*('Group Stage'!$I$4:$I$75&gt;'Group Stage'!$H$4:$H$75))</f>
        <v>0</v>
      </c>
      <c r="E15" s="18">
        <f>SUMPRODUCT((('Group Stage'!$E$4:$E$75="Qatar")+('Group Stage'!$F$4:$F$75="Qatar"))*('Group Stage'!$H$4:$H$75&lt;&gt;"")*('Group Stage'!$H$4:$H$75='Group Stage'!$I$4:$I$75))</f>
        <v>1</v>
      </c>
      <c r="F15" s="18">
        <f t="shared" si="6"/>
        <v>1</v>
      </c>
      <c r="G15" s="18">
        <f>SUMIFS('Group Stage'!$H$4:$H$75,'Group Stage'!$E$4:$E$75,"Qatar")+SUMIFS('Group Stage'!$I$4:$I$75,'Group Stage'!$F$4:$F$75,"Qatar")</f>
        <v>1</v>
      </c>
      <c r="H15" s="18">
        <f>SUMIFS('Group Stage'!$I$4:$I$75,'Group Stage'!$E$4:$E$75,"Qatar")+SUMIFS('Group Stage'!$H$4:$H$75,'Group Stage'!$F$4:$F$75,"Qatar")</f>
        <v>7</v>
      </c>
      <c r="I15" s="18">
        <f t="shared" si="7"/>
        <v>-6</v>
      </c>
      <c r="J15" s="18">
        <f t="shared" si="8"/>
        <v>1</v>
      </c>
    </row>
    <row r="16">
      <c r="A16" s="18">
        <f t="shared" si="5"/>
        <v>2</v>
      </c>
      <c r="B16" s="19" t="s">
        <v>70</v>
      </c>
      <c r="C16" s="18">
        <f>COUNTIFS('Group Stage'!$E$4:$E$75,"Switzerland",'Group Stage'!$H$4:$H$75,"&lt;&gt;")+COUNTIFS('Group Stage'!$F$4:$F$75,"Switzerland",'Group Stage'!$H$4:$H$75,"&lt;&gt;")</f>
        <v>2</v>
      </c>
      <c r="D16" s="18">
        <f>SUMPRODUCT(('Group Stage'!$E$4:$E$75="Switzerland")*('Group Stage'!$H$4:$H$75&lt;&gt;"")*('Group Stage'!$H$4:$H$75&gt;'Group Stage'!$I$4:$I$75))+SUMPRODUCT(('Group Stage'!$F$4:$F$75="Switzerland")*('Group Stage'!$H$4:$H$75&lt;&gt;"")*('Group Stage'!$I$4:$I$75&gt;'Group Stage'!$H$4:$H$75))</f>
        <v>1</v>
      </c>
      <c r="E16" s="18">
        <f>SUMPRODUCT((('Group Stage'!$E$4:$E$75="Switzerland")+('Group Stage'!$F$4:$F$75="Switzerland"))*('Group Stage'!$H$4:$H$75&lt;&gt;"")*('Group Stage'!$H$4:$H$75='Group Stage'!$I$4:$I$75))</f>
        <v>1</v>
      </c>
      <c r="F16" s="18">
        <f t="shared" si="6"/>
        <v>0</v>
      </c>
      <c r="G16" s="18">
        <f>SUMIFS('Group Stage'!$H$4:$H$75,'Group Stage'!$E$4:$E$75,"Switzerland")+SUMIFS('Group Stage'!$I$4:$I$75,'Group Stage'!$F$4:$F$75,"Switzerland")</f>
        <v>5</v>
      </c>
      <c r="H16" s="18">
        <f>SUMIFS('Group Stage'!$I$4:$I$75,'Group Stage'!$E$4:$E$75,"Switzerland")+SUMIFS('Group Stage'!$H$4:$H$75,'Group Stage'!$F$4:$F$75,"Switzerland")</f>
        <v>2</v>
      </c>
      <c r="I16" s="18">
        <f t="shared" si="7"/>
        <v>3</v>
      </c>
      <c r="J16" s="18">
        <f t="shared" si="8"/>
        <v>4</v>
      </c>
    </row>
    <row r="18">
      <c r="A18" s="14" t="s">
        <v>71</v>
      </c>
      <c r="B18" s="15"/>
      <c r="C18" s="15"/>
      <c r="D18" s="15"/>
      <c r="E18" s="15"/>
      <c r="F18" s="15"/>
      <c r="G18" s="15"/>
      <c r="H18" s="15"/>
      <c r="I18" s="15"/>
      <c r="J18" s="16"/>
    </row>
    <row r="19">
      <c r="A19" s="17" t="s">
        <v>52</v>
      </c>
      <c r="B19" s="17" t="s">
        <v>53</v>
      </c>
      <c r="C19" s="17" t="s">
        <v>54</v>
      </c>
      <c r="D19" s="17" t="s">
        <v>55</v>
      </c>
      <c r="E19" s="17" t="s">
        <v>56</v>
      </c>
      <c r="F19" s="17" t="s">
        <v>57</v>
      </c>
      <c r="G19" s="17" t="s">
        <v>58</v>
      </c>
      <c r="H19" s="17" t="s">
        <v>59</v>
      </c>
      <c r="I19" s="17" t="s">
        <v>60</v>
      </c>
      <c r="J19" s="17" t="s">
        <v>61</v>
      </c>
    </row>
    <row r="20">
      <c r="A20" s="18">
        <f t="shared" ref="A20:A23" si="9">IF(SUM($C$20:$C$23)=0,"-",SUMPRODUCT(--(($J$20:$J$23*1000+$I$20:$I$23*10+$G$20:$G$23)&gt;(J20*1000+I20*10+G20)))+1)</f>
        <v>1</v>
      </c>
      <c r="B20" s="19" t="s">
        <v>72</v>
      </c>
      <c r="C20" s="18">
        <f>COUNTIFS('Group Stage'!$E$4:$E$75,"Brazil",'Group Stage'!$H$4:$H$75,"&lt;&gt;")+COUNTIFS('Group Stage'!$F$4:$F$75,"Brazil",'Group Stage'!$H$4:$H$75,"&lt;&gt;")</f>
        <v>2</v>
      </c>
      <c r="D20" s="18">
        <f>SUMPRODUCT(('Group Stage'!$E$4:$E$75="Brazil")*('Group Stage'!$H$4:$H$75&lt;&gt;"")*('Group Stage'!$H$4:$H$75&gt;'Group Stage'!$I$4:$I$75))+SUMPRODUCT(('Group Stage'!$F$4:$F$75="Brazil")*('Group Stage'!$H$4:$H$75&lt;&gt;"")*('Group Stage'!$I$4:$I$75&gt;'Group Stage'!$H$4:$H$75))</f>
        <v>1</v>
      </c>
      <c r="E20" s="18">
        <f>SUMPRODUCT((('Group Stage'!$E$4:$E$75="Brazil")+('Group Stage'!$F$4:$F$75="Brazil"))*('Group Stage'!$H$4:$H$75&lt;&gt;"")*('Group Stage'!$H$4:$H$75='Group Stage'!$I$4:$I$75))</f>
        <v>1</v>
      </c>
      <c r="F20" s="18">
        <f t="shared" ref="F20:F23" si="10">C20-D20-E20</f>
        <v>0</v>
      </c>
      <c r="G20" s="18">
        <f>SUMIFS('Group Stage'!$H$4:$H$75,'Group Stage'!$E$4:$E$75,"Brazil")+SUMIFS('Group Stage'!$I$4:$I$75,'Group Stage'!$F$4:$F$75,"Brazil")</f>
        <v>4</v>
      </c>
      <c r="H20" s="18">
        <f>SUMIFS('Group Stage'!$I$4:$I$75,'Group Stage'!$E$4:$E$75,"Brazil")+SUMIFS('Group Stage'!$H$4:$H$75,'Group Stage'!$F$4:$F$75,"Brazil")</f>
        <v>1</v>
      </c>
      <c r="I20" s="18">
        <f t="shared" ref="I20:I23" si="11">G20-H20</f>
        <v>3</v>
      </c>
      <c r="J20" s="18">
        <f t="shared" ref="J20:J23" si="12">3*D20+E20</f>
        <v>4</v>
      </c>
    </row>
    <row r="21" ht="15.75" customHeight="1">
      <c r="A21" s="18">
        <f t="shared" si="9"/>
        <v>2</v>
      </c>
      <c r="B21" s="19" t="s">
        <v>73</v>
      </c>
      <c r="C21" s="18">
        <f>COUNTIFS('Group Stage'!$E$4:$E$75,"Morocco",'Group Stage'!$H$4:$H$75,"&lt;&gt;")+COUNTIFS('Group Stage'!$F$4:$F$75,"Morocco",'Group Stage'!$H$4:$H$75,"&lt;&gt;")</f>
        <v>2</v>
      </c>
      <c r="D21" s="18">
        <f>SUMPRODUCT(('Group Stage'!$E$4:$E$75="Morocco")*('Group Stage'!$H$4:$H$75&lt;&gt;"")*('Group Stage'!$H$4:$H$75&gt;'Group Stage'!$I$4:$I$75))+SUMPRODUCT(('Group Stage'!$F$4:$F$75="Morocco")*('Group Stage'!$H$4:$H$75&lt;&gt;"")*('Group Stage'!$I$4:$I$75&gt;'Group Stage'!$H$4:$H$75))</f>
        <v>1</v>
      </c>
      <c r="E21" s="18">
        <f>SUMPRODUCT((('Group Stage'!$E$4:$E$75="Morocco")+('Group Stage'!$F$4:$F$75="Morocco"))*('Group Stage'!$H$4:$H$75&lt;&gt;"")*('Group Stage'!$H$4:$H$75='Group Stage'!$I$4:$I$75))</f>
        <v>1</v>
      </c>
      <c r="F21" s="18">
        <f t="shared" si="10"/>
        <v>0</v>
      </c>
      <c r="G21" s="18">
        <f>SUMIFS('Group Stage'!$H$4:$H$75,'Group Stage'!$E$4:$E$75,"Morocco")+SUMIFS('Group Stage'!$I$4:$I$75,'Group Stage'!$F$4:$F$75,"Morocco")</f>
        <v>2</v>
      </c>
      <c r="H21" s="18">
        <f>SUMIFS('Group Stage'!$I$4:$I$75,'Group Stage'!$E$4:$E$75,"Morocco")+SUMIFS('Group Stage'!$H$4:$H$75,'Group Stage'!$F$4:$F$75,"Morocco")</f>
        <v>1</v>
      </c>
      <c r="I21" s="18">
        <f t="shared" si="11"/>
        <v>1</v>
      </c>
      <c r="J21" s="18">
        <f t="shared" si="12"/>
        <v>4</v>
      </c>
    </row>
    <row r="22" ht="15.75" customHeight="1">
      <c r="A22" s="18">
        <f t="shared" si="9"/>
        <v>3</v>
      </c>
      <c r="B22" s="19" t="s">
        <v>74</v>
      </c>
      <c r="C22" s="18">
        <f>COUNTIFS('Group Stage'!$E$4:$E$75,"Scotland",'Group Stage'!$H$4:$H$75,"&lt;&gt;")+COUNTIFS('Group Stage'!$F$4:$F$75,"Scotland",'Group Stage'!$H$4:$H$75,"&lt;&gt;")</f>
        <v>2</v>
      </c>
      <c r="D22" s="18">
        <f>SUMPRODUCT(('Group Stage'!$E$4:$E$75="Scotland")*('Group Stage'!$H$4:$H$75&lt;&gt;"")*('Group Stage'!$H$4:$H$75&gt;'Group Stage'!$I$4:$I$75))+SUMPRODUCT(('Group Stage'!$F$4:$F$75="Scotland")*('Group Stage'!$H$4:$H$75&lt;&gt;"")*('Group Stage'!$I$4:$I$75&gt;'Group Stage'!$H$4:$H$75))</f>
        <v>1</v>
      </c>
      <c r="E22" s="18">
        <f>SUMPRODUCT((('Group Stage'!$E$4:$E$75="Scotland")+('Group Stage'!$F$4:$F$75="Scotland"))*('Group Stage'!$H$4:$H$75&lt;&gt;"")*('Group Stage'!$H$4:$H$75='Group Stage'!$I$4:$I$75))</f>
        <v>0</v>
      </c>
      <c r="F22" s="18">
        <f t="shared" si="10"/>
        <v>1</v>
      </c>
      <c r="G22" s="18">
        <f>SUMIFS('Group Stage'!$H$4:$H$75,'Group Stage'!$E$4:$E$75,"Scotland")+SUMIFS('Group Stage'!$I$4:$I$75,'Group Stage'!$F$4:$F$75,"Scotland")</f>
        <v>1</v>
      </c>
      <c r="H22" s="18">
        <f>SUMIFS('Group Stage'!$I$4:$I$75,'Group Stage'!$E$4:$E$75,"Scotland")+SUMIFS('Group Stage'!$H$4:$H$75,'Group Stage'!$F$4:$F$75,"Scotland")</f>
        <v>1</v>
      </c>
      <c r="I22" s="18">
        <f t="shared" si="11"/>
        <v>0</v>
      </c>
      <c r="J22" s="18">
        <f t="shared" si="12"/>
        <v>3</v>
      </c>
    </row>
    <row r="23" ht="15.75" customHeight="1">
      <c r="A23" s="18">
        <f t="shared" si="9"/>
        <v>4</v>
      </c>
      <c r="B23" s="19" t="s">
        <v>75</v>
      </c>
      <c r="C23" s="18">
        <f>COUNTIFS('Group Stage'!$E$4:$E$75,"Haiti",'Group Stage'!$H$4:$H$75,"&lt;&gt;")+COUNTIFS('Group Stage'!$F$4:$F$75,"Haiti",'Group Stage'!$H$4:$H$75,"&lt;&gt;")</f>
        <v>2</v>
      </c>
      <c r="D23" s="18">
        <f>SUMPRODUCT(('Group Stage'!$E$4:$E$75="Haiti")*('Group Stage'!$H$4:$H$75&lt;&gt;"")*('Group Stage'!$H$4:$H$75&gt;'Group Stage'!$I$4:$I$75))+SUMPRODUCT(('Group Stage'!$F$4:$F$75="Haiti")*('Group Stage'!$H$4:$H$75&lt;&gt;"")*('Group Stage'!$I$4:$I$75&gt;'Group Stage'!$H$4:$H$75))</f>
        <v>0</v>
      </c>
      <c r="E23" s="18">
        <f>SUMPRODUCT((('Group Stage'!$E$4:$E$75="Haiti")+('Group Stage'!$F$4:$F$75="Haiti"))*('Group Stage'!$H$4:$H$75&lt;&gt;"")*('Group Stage'!$H$4:$H$75='Group Stage'!$I$4:$I$75))</f>
        <v>0</v>
      </c>
      <c r="F23" s="18">
        <f t="shared" si="10"/>
        <v>2</v>
      </c>
      <c r="G23" s="18">
        <f>SUMIFS('Group Stage'!$H$4:$H$75,'Group Stage'!$E$4:$E$75,"Haiti")+SUMIFS('Group Stage'!$I$4:$I$75,'Group Stage'!$F$4:$F$75,"Haiti")</f>
        <v>0</v>
      </c>
      <c r="H23" s="18">
        <f>SUMIFS('Group Stage'!$I$4:$I$75,'Group Stage'!$E$4:$E$75,"Haiti")+SUMIFS('Group Stage'!$H$4:$H$75,'Group Stage'!$F$4:$F$75,"Haiti")</f>
        <v>4</v>
      </c>
      <c r="I23" s="18">
        <f t="shared" si="11"/>
        <v>-4</v>
      </c>
      <c r="J23" s="18">
        <f t="shared" si="12"/>
        <v>0</v>
      </c>
    </row>
    <row r="24" ht="15.75" customHeight="1"/>
    <row r="25" ht="15.75" customHeight="1">
      <c r="A25" s="14" t="s">
        <v>76</v>
      </c>
      <c r="B25" s="15"/>
      <c r="C25" s="15"/>
      <c r="D25" s="15"/>
      <c r="E25" s="15"/>
      <c r="F25" s="15"/>
      <c r="G25" s="15"/>
      <c r="H25" s="15"/>
      <c r="I25" s="15"/>
      <c r="J25" s="16"/>
    </row>
    <row r="26" ht="15.75" customHeight="1">
      <c r="A26" s="17" t="s">
        <v>52</v>
      </c>
      <c r="B26" s="17" t="s">
        <v>53</v>
      </c>
      <c r="C26" s="17" t="s">
        <v>54</v>
      </c>
      <c r="D26" s="17" t="s">
        <v>55</v>
      </c>
      <c r="E26" s="17" t="s">
        <v>56</v>
      </c>
      <c r="F26" s="17" t="s">
        <v>57</v>
      </c>
      <c r="G26" s="17" t="s">
        <v>58</v>
      </c>
      <c r="H26" s="17" t="s">
        <v>59</v>
      </c>
      <c r="I26" s="17" t="s">
        <v>60</v>
      </c>
      <c r="J26" s="17" t="s">
        <v>61</v>
      </c>
    </row>
    <row r="27" ht="15.75" customHeight="1">
      <c r="A27" s="18">
        <f t="shared" ref="A27:A30" si="13">IF(SUM($C$27:$C$30)=0,"-",SUMPRODUCT(--(($J$27:$J$30*1000+$I$27:$I$30*10+$G$27:$G$30)&gt;(J27*1000+I27*10+G27)))+1)</f>
        <v>1</v>
      </c>
      <c r="B27" s="19" t="s">
        <v>77</v>
      </c>
      <c r="C27" s="18">
        <f>COUNTIFS('Group Stage'!$E$4:$E$75,"United States",'Group Stage'!$H$4:$H$75,"&lt;&gt;")+COUNTIFS('Group Stage'!$F$4:$F$75,"United States",'Group Stage'!$H$4:$H$75,"&lt;&gt;")</f>
        <v>2</v>
      </c>
      <c r="D27" s="18">
        <f>SUMPRODUCT(('Group Stage'!$E$4:$E$75="United States")*('Group Stage'!$H$4:$H$75&lt;&gt;"")*('Group Stage'!$H$4:$H$75&gt;'Group Stage'!$I$4:$I$75))+SUMPRODUCT(('Group Stage'!$F$4:$F$75="United States")*('Group Stage'!$H$4:$H$75&lt;&gt;"")*('Group Stage'!$I$4:$I$75&gt;'Group Stage'!$H$4:$H$75))</f>
        <v>2</v>
      </c>
      <c r="E27" s="18">
        <f>SUMPRODUCT((('Group Stage'!$E$4:$E$75="United States")+('Group Stage'!$F$4:$F$75="United States"))*('Group Stage'!$H$4:$H$75&lt;&gt;"")*('Group Stage'!$H$4:$H$75='Group Stage'!$I$4:$I$75))</f>
        <v>0</v>
      </c>
      <c r="F27" s="18">
        <f t="shared" ref="F27:F30" si="14">C27-D27-E27</f>
        <v>0</v>
      </c>
      <c r="G27" s="18">
        <f>SUMIFS('Group Stage'!$H$4:$H$75,'Group Stage'!$E$4:$E$75,"United States")+SUMIFS('Group Stage'!$I$4:$I$75,'Group Stage'!$F$4:$F$75,"United States")</f>
        <v>6</v>
      </c>
      <c r="H27" s="18">
        <f>SUMIFS('Group Stage'!$I$4:$I$75,'Group Stage'!$E$4:$E$75,"United States")+SUMIFS('Group Stage'!$H$4:$H$75,'Group Stage'!$F$4:$F$75,"United States")</f>
        <v>1</v>
      </c>
      <c r="I27" s="18">
        <f t="shared" ref="I27:I30" si="15">G27-H27</f>
        <v>5</v>
      </c>
      <c r="J27" s="18">
        <f t="shared" ref="J27:J30" si="16">3*D27+E27</f>
        <v>6</v>
      </c>
    </row>
    <row r="28" ht="15.75" customHeight="1">
      <c r="A28" s="18">
        <f t="shared" si="13"/>
        <v>3</v>
      </c>
      <c r="B28" s="19" t="s">
        <v>78</v>
      </c>
      <c r="C28" s="18">
        <f>COUNTIFS('Group Stage'!$E$4:$E$75,"Paraguay",'Group Stage'!$H$4:$H$75,"&lt;&gt;")+COUNTIFS('Group Stage'!$F$4:$F$75,"Paraguay",'Group Stage'!$H$4:$H$75,"&lt;&gt;")</f>
        <v>2</v>
      </c>
      <c r="D28" s="18">
        <f>SUMPRODUCT(('Group Stage'!$E$4:$E$75="Paraguay")*('Group Stage'!$H$4:$H$75&lt;&gt;"")*('Group Stage'!$H$4:$H$75&gt;'Group Stage'!$I$4:$I$75))+SUMPRODUCT(('Group Stage'!$F$4:$F$75="Paraguay")*('Group Stage'!$H$4:$H$75&lt;&gt;"")*('Group Stage'!$I$4:$I$75&gt;'Group Stage'!$H$4:$H$75))</f>
        <v>1</v>
      </c>
      <c r="E28" s="18">
        <f>SUMPRODUCT((('Group Stage'!$E$4:$E$75="Paraguay")+('Group Stage'!$F$4:$F$75="Paraguay"))*('Group Stage'!$H$4:$H$75&lt;&gt;"")*('Group Stage'!$H$4:$H$75='Group Stage'!$I$4:$I$75))</f>
        <v>0</v>
      </c>
      <c r="F28" s="18">
        <f t="shared" si="14"/>
        <v>1</v>
      </c>
      <c r="G28" s="18">
        <f>SUMIFS('Group Stage'!$H$4:$H$75,'Group Stage'!$E$4:$E$75,"Paraguay")+SUMIFS('Group Stage'!$I$4:$I$75,'Group Stage'!$F$4:$F$75,"Paraguay")</f>
        <v>2</v>
      </c>
      <c r="H28" s="18">
        <f>SUMIFS('Group Stage'!$I$4:$I$75,'Group Stage'!$E$4:$E$75,"Paraguay")+SUMIFS('Group Stage'!$H$4:$H$75,'Group Stage'!$F$4:$F$75,"Paraguay")</f>
        <v>4</v>
      </c>
      <c r="I28" s="18">
        <f t="shared" si="15"/>
        <v>-2</v>
      </c>
      <c r="J28" s="18">
        <f t="shared" si="16"/>
        <v>3</v>
      </c>
    </row>
    <row r="29" ht="15.75" customHeight="1">
      <c r="A29" s="18">
        <f t="shared" si="13"/>
        <v>2</v>
      </c>
      <c r="B29" s="19" t="s">
        <v>79</v>
      </c>
      <c r="C29" s="18">
        <f>COUNTIFS('Group Stage'!$E$4:$E$75,"Australia",'Group Stage'!$H$4:$H$75,"&lt;&gt;")+COUNTIFS('Group Stage'!$F$4:$F$75,"Australia",'Group Stage'!$H$4:$H$75,"&lt;&gt;")</f>
        <v>2</v>
      </c>
      <c r="D29" s="18">
        <f>SUMPRODUCT(('Group Stage'!$E$4:$E$75="Australia")*('Group Stage'!$H$4:$H$75&lt;&gt;"")*('Group Stage'!$H$4:$H$75&gt;'Group Stage'!$I$4:$I$75))+SUMPRODUCT(('Group Stage'!$F$4:$F$75="Australia")*('Group Stage'!$H$4:$H$75&lt;&gt;"")*('Group Stage'!$I$4:$I$75&gt;'Group Stage'!$H$4:$H$75))</f>
        <v>1</v>
      </c>
      <c r="E29" s="18">
        <f>SUMPRODUCT((('Group Stage'!$E$4:$E$75="Australia")+('Group Stage'!$F$4:$F$75="Australia"))*('Group Stage'!$H$4:$H$75&lt;&gt;"")*('Group Stage'!$H$4:$H$75='Group Stage'!$I$4:$I$75))</f>
        <v>0</v>
      </c>
      <c r="F29" s="18">
        <f t="shared" si="14"/>
        <v>1</v>
      </c>
      <c r="G29" s="18">
        <f>SUMIFS('Group Stage'!$H$4:$H$75,'Group Stage'!$E$4:$E$75,"Australia")+SUMIFS('Group Stage'!$I$4:$I$75,'Group Stage'!$F$4:$F$75,"Australia")</f>
        <v>2</v>
      </c>
      <c r="H29" s="18">
        <f>SUMIFS('Group Stage'!$I$4:$I$75,'Group Stage'!$E$4:$E$75,"Australia")+SUMIFS('Group Stage'!$H$4:$H$75,'Group Stage'!$F$4:$F$75,"Australia")</f>
        <v>2</v>
      </c>
      <c r="I29" s="18">
        <f t="shared" si="15"/>
        <v>0</v>
      </c>
      <c r="J29" s="18">
        <f t="shared" si="16"/>
        <v>3</v>
      </c>
    </row>
    <row r="30" ht="15.75" customHeight="1">
      <c r="A30" s="18">
        <f t="shared" si="13"/>
        <v>4</v>
      </c>
      <c r="B30" s="19" t="s">
        <v>80</v>
      </c>
      <c r="C30" s="18">
        <f>COUNTIFS('Group Stage'!$E$4:$E$75,"Türkiye",'Group Stage'!$H$4:$H$75,"&lt;&gt;")+COUNTIFS('Group Stage'!$F$4:$F$75,"Türkiye",'Group Stage'!$H$4:$H$75,"&lt;&gt;")</f>
        <v>2</v>
      </c>
      <c r="D30" s="18">
        <f>SUMPRODUCT(('Group Stage'!$E$4:$E$75="Türkiye")*('Group Stage'!$H$4:$H$75&lt;&gt;"")*('Group Stage'!$H$4:$H$75&gt;'Group Stage'!$I$4:$I$75))+SUMPRODUCT(('Group Stage'!$F$4:$F$75="Türkiye")*('Group Stage'!$H$4:$H$75&lt;&gt;"")*('Group Stage'!$I$4:$I$75&gt;'Group Stage'!$H$4:$H$75))</f>
        <v>0</v>
      </c>
      <c r="E30" s="18">
        <f>SUMPRODUCT((('Group Stage'!$E$4:$E$75="Türkiye")+('Group Stage'!$F$4:$F$75="Türkiye"))*('Group Stage'!$H$4:$H$75&lt;&gt;"")*('Group Stage'!$H$4:$H$75='Group Stage'!$I$4:$I$75))</f>
        <v>0</v>
      </c>
      <c r="F30" s="18">
        <f t="shared" si="14"/>
        <v>2</v>
      </c>
      <c r="G30" s="18">
        <f>SUMIFS('Group Stage'!$H$4:$H$75,'Group Stage'!$E$4:$E$75,"Türkiye")+SUMIFS('Group Stage'!$I$4:$I$75,'Group Stage'!$F$4:$F$75,"Türkiye")</f>
        <v>0</v>
      </c>
      <c r="H30" s="18">
        <f>SUMIFS('Group Stage'!$I$4:$I$75,'Group Stage'!$E$4:$E$75,"Türkiye")+SUMIFS('Group Stage'!$H$4:$H$75,'Group Stage'!$F$4:$F$75,"Türkiye")</f>
        <v>3</v>
      </c>
      <c r="I30" s="18">
        <f t="shared" si="15"/>
        <v>-3</v>
      </c>
      <c r="J30" s="18">
        <f t="shared" si="16"/>
        <v>0</v>
      </c>
    </row>
    <row r="31" ht="15.75" customHeight="1"/>
    <row r="32" ht="15.75" customHeight="1">
      <c r="A32" s="14" t="s">
        <v>81</v>
      </c>
      <c r="B32" s="15"/>
      <c r="C32" s="15"/>
      <c r="D32" s="15"/>
      <c r="E32" s="15"/>
      <c r="F32" s="15"/>
      <c r="G32" s="15"/>
      <c r="H32" s="15"/>
      <c r="I32" s="15"/>
      <c r="J32" s="16"/>
    </row>
    <row r="33" ht="15.75" customHeight="1">
      <c r="A33" s="17" t="s">
        <v>52</v>
      </c>
      <c r="B33" s="17" t="s">
        <v>53</v>
      </c>
      <c r="C33" s="17" t="s">
        <v>54</v>
      </c>
      <c r="D33" s="17" t="s">
        <v>55</v>
      </c>
      <c r="E33" s="17" t="s">
        <v>56</v>
      </c>
      <c r="F33" s="17" t="s">
        <v>57</v>
      </c>
      <c r="G33" s="17" t="s">
        <v>58</v>
      </c>
      <c r="H33" s="17" t="s">
        <v>59</v>
      </c>
      <c r="I33" s="17" t="s">
        <v>60</v>
      </c>
      <c r="J33" s="17" t="s">
        <v>61</v>
      </c>
    </row>
    <row r="34" ht="15.75" customHeight="1">
      <c r="A34" s="18">
        <f t="shared" ref="A34:A37" si="17">IF(SUM($C$34:$C$37)=0,"-",SUMPRODUCT(--(($J$34:$J$37*1000+$I$34:$I$37*10+$G$34:$G$37)&gt;(J34*1000+I34*10+G34)))+1)</f>
        <v>1</v>
      </c>
      <c r="B34" s="19" t="s">
        <v>82</v>
      </c>
      <c r="C34" s="18">
        <f>COUNTIFS('Group Stage'!$E$4:$E$75,"Germany",'Group Stage'!$H$4:$H$75,"&lt;&gt;")+COUNTIFS('Group Stage'!$F$4:$F$75,"Germany",'Group Stage'!$H$4:$H$75,"&lt;&gt;")</f>
        <v>2</v>
      </c>
      <c r="D34" s="18">
        <f>SUMPRODUCT(('Group Stage'!$E$4:$E$75="Germany")*('Group Stage'!$H$4:$H$75&lt;&gt;"")*('Group Stage'!$H$4:$H$75&gt;'Group Stage'!$I$4:$I$75))+SUMPRODUCT(('Group Stage'!$F$4:$F$75="Germany")*('Group Stage'!$H$4:$H$75&lt;&gt;"")*('Group Stage'!$I$4:$I$75&gt;'Group Stage'!$H$4:$H$75))</f>
        <v>2</v>
      </c>
      <c r="E34" s="18">
        <f>SUMPRODUCT((('Group Stage'!$E$4:$E$75="Germany")+('Group Stage'!$F$4:$F$75="Germany"))*('Group Stage'!$H$4:$H$75&lt;&gt;"")*('Group Stage'!$H$4:$H$75='Group Stage'!$I$4:$I$75))</f>
        <v>0</v>
      </c>
      <c r="F34" s="18">
        <f t="shared" ref="F34:F37" si="18">C34-D34-E34</f>
        <v>0</v>
      </c>
      <c r="G34" s="18">
        <f>SUMIFS('Group Stage'!$H$4:$H$75,'Group Stage'!$E$4:$E$75,"Germany")+SUMIFS('Group Stage'!$I$4:$I$75,'Group Stage'!$F$4:$F$75,"Germany")</f>
        <v>9</v>
      </c>
      <c r="H34" s="18">
        <f>SUMIFS('Group Stage'!$I$4:$I$75,'Group Stage'!$E$4:$E$75,"Germany")+SUMIFS('Group Stage'!$H$4:$H$75,'Group Stage'!$F$4:$F$75,"Germany")</f>
        <v>2</v>
      </c>
      <c r="I34" s="18">
        <f t="shared" ref="I34:I37" si="19">G34-H34</f>
        <v>7</v>
      </c>
      <c r="J34" s="18">
        <f t="shared" ref="J34:J37" si="20">3*D34+E34</f>
        <v>6</v>
      </c>
    </row>
    <row r="35" ht="15.75" customHeight="1">
      <c r="A35" s="18">
        <f t="shared" si="17"/>
        <v>4</v>
      </c>
      <c r="B35" s="19" t="s">
        <v>83</v>
      </c>
      <c r="C35" s="18">
        <f>COUNTIFS('Group Stage'!$E$4:$E$75,"Curaçao",'Group Stage'!$H$4:$H$75,"&lt;&gt;")+COUNTIFS('Group Stage'!$F$4:$F$75,"Curaçao",'Group Stage'!$H$4:$H$75,"&lt;&gt;")</f>
        <v>2</v>
      </c>
      <c r="D35" s="18">
        <f>SUMPRODUCT(('Group Stage'!$E$4:$E$75="Curaçao")*('Group Stage'!$H$4:$H$75&lt;&gt;"")*('Group Stage'!$H$4:$H$75&gt;'Group Stage'!$I$4:$I$75))+SUMPRODUCT(('Group Stage'!$F$4:$F$75="Curaçao")*('Group Stage'!$H$4:$H$75&lt;&gt;"")*('Group Stage'!$I$4:$I$75&gt;'Group Stage'!$H$4:$H$75))</f>
        <v>0</v>
      </c>
      <c r="E35" s="18">
        <f>SUMPRODUCT((('Group Stage'!$E$4:$E$75="Curaçao")+('Group Stage'!$F$4:$F$75="Curaçao"))*('Group Stage'!$H$4:$H$75&lt;&gt;"")*('Group Stage'!$H$4:$H$75='Group Stage'!$I$4:$I$75))</f>
        <v>1</v>
      </c>
      <c r="F35" s="18">
        <f t="shared" si="18"/>
        <v>1</v>
      </c>
      <c r="G35" s="18">
        <f>SUMIFS('Group Stage'!$H$4:$H$75,'Group Stage'!$E$4:$E$75,"Curaçao")+SUMIFS('Group Stage'!$I$4:$I$75,'Group Stage'!$F$4:$F$75,"Curaçao")</f>
        <v>1</v>
      </c>
      <c r="H35" s="18">
        <f>SUMIFS('Group Stage'!$I$4:$I$75,'Group Stage'!$E$4:$E$75,"Curaçao")+SUMIFS('Group Stage'!$H$4:$H$75,'Group Stage'!$F$4:$F$75,"Curaçao")</f>
        <v>7</v>
      </c>
      <c r="I35" s="18">
        <f t="shared" si="19"/>
        <v>-6</v>
      </c>
      <c r="J35" s="18">
        <f t="shared" si="20"/>
        <v>1</v>
      </c>
    </row>
    <row r="36" ht="15.75" customHeight="1">
      <c r="A36" s="18">
        <f t="shared" si="17"/>
        <v>2</v>
      </c>
      <c r="B36" s="19" t="s">
        <v>84</v>
      </c>
      <c r="C36" s="18">
        <f>COUNTIFS('Group Stage'!$E$4:$E$75,"Ivory Coast",'Group Stage'!$H$4:$H$75,"&lt;&gt;")+COUNTIFS('Group Stage'!$F$4:$F$75,"Ivory Coast",'Group Stage'!$H$4:$H$75,"&lt;&gt;")</f>
        <v>2</v>
      </c>
      <c r="D36" s="18">
        <f>SUMPRODUCT(('Group Stage'!$E$4:$E$75="Ivory Coast")*('Group Stage'!$H$4:$H$75&lt;&gt;"")*('Group Stage'!$H$4:$H$75&gt;'Group Stage'!$I$4:$I$75))+SUMPRODUCT(('Group Stage'!$F$4:$F$75="Ivory Coast")*('Group Stage'!$H$4:$H$75&lt;&gt;"")*('Group Stage'!$I$4:$I$75&gt;'Group Stage'!$H$4:$H$75))</f>
        <v>1</v>
      </c>
      <c r="E36" s="18">
        <f>SUMPRODUCT((('Group Stage'!$E$4:$E$75="Ivory Coast")+('Group Stage'!$F$4:$F$75="Ivory Coast"))*('Group Stage'!$H$4:$H$75&lt;&gt;"")*('Group Stage'!$H$4:$H$75='Group Stage'!$I$4:$I$75))</f>
        <v>0</v>
      </c>
      <c r="F36" s="18">
        <f t="shared" si="18"/>
        <v>1</v>
      </c>
      <c r="G36" s="18">
        <f>SUMIFS('Group Stage'!$H$4:$H$75,'Group Stage'!$E$4:$E$75,"Ivory Coast")+SUMIFS('Group Stage'!$I$4:$I$75,'Group Stage'!$F$4:$F$75,"Ivory Coast")</f>
        <v>2</v>
      </c>
      <c r="H36" s="18">
        <f>SUMIFS('Group Stage'!$I$4:$I$75,'Group Stage'!$E$4:$E$75,"Ivory Coast")+SUMIFS('Group Stage'!$H$4:$H$75,'Group Stage'!$F$4:$F$75,"Ivory Coast")</f>
        <v>2</v>
      </c>
      <c r="I36" s="18">
        <f t="shared" si="19"/>
        <v>0</v>
      </c>
      <c r="J36" s="18">
        <f t="shared" si="20"/>
        <v>3</v>
      </c>
    </row>
    <row r="37" ht="15.75" customHeight="1">
      <c r="A37" s="18">
        <f t="shared" si="17"/>
        <v>3</v>
      </c>
      <c r="B37" s="19" t="s">
        <v>85</v>
      </c>
      <c r="C37" s="18">
        <f>COUNTIFS('Group Stage'!$E$4:$E$75,"Ecuador",'Group Stage'!$H$4:$H$75,"&lt;&gt;")+COUNTIFS('Group Stage'!$F$4:$F$75,"Ecuador",'Group Stage'!$H$4:$H$75,"&lt;&gt;")</f>
        <v>2</v>
      </c>
      <c r="D37" s="18">
        <f>SUMPRODUCT(('Group Stage'!$E$4:$E$75="Ecuador")*('Group Stage'!$H$4:$H$75&lt;&gt;"")*('Group Stage'!$H$4:$H$75&gt;'Group Stage'!$I$4:$I$75))+SUMPRODUCT(('Group Stage'!$F$4:$F$75="Ecuador")*('Group Stage'!$H$4:$H$75&lt;&gt;"")*('Group Stage'!$I$4:$I$75&gt;'Group Stage'!$H$4:$H$75))</f>
        <v>0</v>
      </c>
      <c r="E37" s="18">
        <f>SUMPRODUCT((('Group Stage'!$E$4:$E$75="Ecuador")+('Group Stage'!$F$4:$F$75="Ecuador"))*('Group Stage'!$H$4:$H$75&lt;&gt;"")*('Group Stage'!$H$4:$H$75='Group Stage'!$I$4:$I$75))</f>
        <v>1</v>
      </c>
      <c r="F37" s="18">
        <f t="shared" si="18"/>
        <v>1</v>
      </c>
      <c r="G37" s="18">
        <f>SUMIFS('Group Stage'!$H$4:$H$75,'Group Stage'!$E$4:$E$75,"Ecuador")+SUMIFS('Group Stage'!$I$4:$I$75,'Group Stage'!$F$4:$F$75,"Ecuador")</f>
        <v>0</v>
      </c>
      <c r="H37" s="18">
        <f>SUMIFS('Group Stage'!$I$4:$I$75,'Group Stage'!$E$4:$E$75,"Ecuador")+SUMIFS('Group Stage'!$H$4:$H$75,'Group Stage'!$F$4:$F$75,"Ecuador")</f>
        <v>1</v>
      </c>
      <c r="I37" s="18">
        <f t="shared" si="19"/>
        <v>-1</v>
      </c>
      <c r="J37" s="18">
        <f t="shared" si="20"/>
        <v>1</v>
      </c>
    </row>
    <row r="38" ht="15.75" customHeight="1"/>
    <row r="39" ht="15.75" customHeight="1">
      <c r="A39" s="14" t="s">
        <v>86</v>
      </c>
      <c r="B39" s="15"/>
      <c r="C39" s="15"/>
      <c r="D39" s="15"/>
      <c r="E39" s="15"/>
      <c r="F39" s="15"/>
      <c r="G39" s="15"/>
      <c r="H39" s="15"/>
      <c r="I39" s="15"/>
      <c r="J39" s="16"/>
    </row>
    <row r="40" ht="15.75" customHeight="1">
      <c r="A40" s="17" t="s">
        <v>52</v>
      </c>
      <c r="B40" s="17" t="s">
        <v>53</v>
      </c>
      <c r="C40" s="17" t="s">
        <v>54</v>
      </c>
      <c r="D40" s="17" t="s">
        <v>55</v>
      </c>
      <c r="E40" s="17" t="s">
        <v>56</v>
      </c>
      <c r="F40" s="17" t="s">
        <v>57</v>
      </c>
      <c r="G40" s="17" t="s">
        <v>58</v>
      </c>
      <c r="H40" s="17" t="s">
        <v>59</v>
      </c>
      <c r="I40" s="17" t="s">
        <v>60</v>
      </c>
      <c r="J40" s="17" t="s">
        <v>61</v>
      </c>
    </row>
    <row r="41" ht="15.75" customHeight="1">
      <c r="A41" s="18">
        <f t="shared" ref="A41:A44" si="21">IF(SUM($C$41:$C$44)=0,"-",SUMPRODUCT(--(($J$41:$J$44*1000+$I$41:$I$44*10+$G$41:$G$44)&gt;(J41*1000+I41*10+G41)))+1)</f>
        <v>1</v>
      </c>
      <c r="B41" s="19" t="s">
        <v>87</v>
      </c>
      <c r="C41" s="18">
        <f>COUNTIFS('Group Stage'!$E$4:$E$75,"Netherlands",'Group Stage'!$H$4:$H$75,"&lt;&gt;")+COUNTIFS('Group Stage'!$F$4:$F$75,"Netherlands",'Group Stage'!$H$4:$H$75,"&lt;&gt;")</f>
        <v>2</v>
      </c>
      <c r="D41" s="18">
        <f>SUMPRODUCT(('Group Stage'!$E$4:$E$75="Netherlands")*('Group Stage'!$H$4:$H$75&lt;&gt;"")*('Group Stage'!$H$4:$H$75&gt;'Group Stage'!$I$4:$I$75))+SUMPRODUCT(('Group Stage'!$F$4:$F$75="Netherlands")*('Group Stage'!$H$4:$H$75&lt;&gt;"")*('Group Stage'!$I$4:$I$75&gt;'Group Stage'!$H$4:$H$75))</f>
        <v>1</v>
      </c>
      <c r="E41" s="18">
        <f>SUMPRODUCT((('Group Stage'!$E$4:$E$75="Netherlands")+('Group Stage'!$F$4:$F$75="Netherlands"))*('Group Stage'!$H$4:$H$75&lt;&gt;"")*('Group Stage'!$H$4:$H$75='Group Stage'!$I$4:$I$75))</f>
        <v>1</v>
      </c>
      <c r="F41" s="18">
        <f t="shared" ref="F41:F44" si="22">C41-D41-E41</f>
        <v>0</v>
      </c>
      <c r="G41" s="18">
        <f>SUMIFS('Group Stage'!$H$4:$H$75,'Group Stage'!$E$4:$E$75,"Netherlands")+SUMIFS('Group Stage'!$I$4:$I$75,'Group Stage'!$F$4:$F$75,"Netherlands")</f>
        <v>7</v>
      </c>
      <c r="H41" s="18">
        <f>SUMIFS('Group Stage'!$I$4:$I$75,'Group Stage'!$E$4:$E$75,"Netherlands")+SUMIFS('Group Stage'!$H$4:$H$75,'Group Stage'!$F$4:$F$75,"Netherlands")</f>
        <v>3</v>
      </c>
      <c r="I41" s="18">
        <f t="shared" ref="I41:I44" si="23">G41-H41</f>
        <v>4</v>
      </c>
      <c r="J41" s="18">
        <f t="shared" ref="J41:J44" si="24">3*D41+E41</f>
        <v>4</v>
      </c>
    </row>
    <row r="42" ht="15.75" customHeight="1">
      <c r="A42" s="18">
        <f t="shared" si="21"/>
        <v>2</v>
      </c>
      <c r="B42" s="19" t="s">
        <v>88</v>
      </c>
      <c r="C42" s="18">
        <f>COUNTIFS('Group Stage'!$E$4:$E$75,"Japan",'Group Stage'!$H$4:$H$75,"&lt;&gt;")+COUNTIFS('Group Stage'!$F$4:$F$75,"Japan",'Group Stage'!$H$4:$H$75,"&lt;&gt;")</f>
        <v>2</v>
      </c>
      <c r="D42" s="18">
        <f>SUMPRODUCT(('Group Stage'!$E$4:$E$75="Japan")*('Group Stage'!$H$4:$H$75&lt;&gt;"")*('Group Stage'!$H$4:$H$75&gt;'Group Stage'!$I$4:$I$75))+SUMPRODUCT(('Group Stage'!$F$4:$F$75="Japan")*('Group Stage'!$H$4:$H$75&lt;&gt;"")*('Group Stage'!$I$4:$I$75&gt;'Group Stage'!$H$4:$H$75))</f>
        <v>1</v>
      </c>
      <c r="E42" s="18">
        <f>SUMPRODUCT((('Group Stage'!$E$4:$E$75="Japan")+('Group Stage'!$F$4:$F$75="Japan"))*('Group Stage'!$H$4:$H$75&lt;&gt;"")*('Group Stage'!$H$4:$H$75='Group Stage'!$I$4:$I$75))</f>
        <v>1</v>
      </c>
      <c r="F42" s="18">
        <f t="shared" si="22"/>
        <v>0</v>
      </c>
      <c r="G42" s="18">
        <f>SUMIFS('Group Stage'!$H$4:$H$75,'Group Stage'!$E$4:$E$75,"Japan")+SUMIFS('Group Stage'!$I$4:$I$75,'Group Stage'!$F$4:$F$75,"Japan")</f>
        <v>6</v>
      </c>
      <c r="H42" s="18">
        <f>SUMIFS('Group Stage'!$I$4:$I$75,'Group Stage'!$E$4:$E$75,"Japan")+SUMIFS('Group Stage'!$H$4:$H$75,'Group Stage'!$F$4:$F$75,"Japan")</f>
        <v>2</v>
      </c>
      <c r="I42" s="18">
        <f t="shared" si="23"/>
        <v>4</v>
      </c>
      <c r="J42" s="18">
        <f t="shared" si="24"/>
        <v>4</v>
      </c>
    </row>
    <row r="43" ht="15.75" customHeight="1">
      <c r="A43" s="18">
        <f t="shared" si="21"/>
        <v>4</v>
      </c>
      <c r="B43" s="19" t="s">
        <v>89</v>
      </c>
      <c r="C43" s="18">
        <f>COUNTIFS('Group Stage'!$E$4:$E$75,"Tunisia",'Group Stage'!$H$4:$H$75,"&lt;&gt;")+COUNTIFS('Group Stage'!$F$4:$F$75,"Tunisia",'Group Stage'!$H$4:$H$75,"&lt;&gt;")</f>
        <v>2</v>
      </c>
      <c r="D43" s="18">
        <f>SUMPRODUCT(('Group Stage'!$E$4:$E$75="Tunisia")*('Group Stage'!$H$4:$H$75&lt;&gt;"")*('Group Stage'!$H$4:$H$75&gt;'Group Stage'!$I$4:$I$75))+SUMPRODUCT(('Group Stage'!$F$4:$F$75="Tunisia")*('Group Stage'!$H$4:$H$75&lt;&gt;"")*('Group Stage'!$I$4:$I$75&gt;'Group Stage'!$H$4:$H$75))</f>
        <v>0</v>
      </c>
      <c r="E43" s="18">
        <f>SUMPRODUCT((('Group Stage'!$E$4:$E$75="Tunisia")+('Group Stage'!$F$4:$F$75="Tunisia"))*('Group Stage'!$H$4:$H$75&lt;&gt;"")*('Group Stage'!$H$4:$H$75='Group Stage'!$I$4:$I$75))</f>
        <v>0</v>
      </c>
      <c r="F43" s="18">
        <f t="shared" si="22"/>
        <v>2</v>
      </c>
      <c r="G43" s="18">
        <f>SUMIFS('Group Stage'!$H$4:$H$75,'Group Stage'!$E$4:$E$75,"Tunisia")+SUMIFS('Group Stage'!$I$4:$I$75,'Group Stage'!$F$4:$F$75,"Tunisia")</f>
        <v>1</v>
      </c>
      <c r="H43" s="18">
        <f>SUMIFS('Group Stage'!$I$4:$I$75,'Group Stage'!$E$4:$E$75,"Tunisia")+SUMIFS('Group Stage'!$H$4:$H$75,'Group Stage'!$F$4:$F$75,"Tunisia")</f>
        <v>9</v>
      </c>
      <c r="I43" s="18">
        <f t="shared" si="23"/>
        <v>-8</v>
      </c>
      <c r="J43" s="18">
        <f t="shared" si="24"/>
        <v>0</v>
      </c>
    </row>
    <row r="44" ht="15.75" customHeight="1">
      <c r="A44" s="18">
        <f t="shared" si="21"/>
        <v>3</v>
      </c>
      <c r="B44" s="19" t="s">
        <v>90</v>
      </c>
      <c r="C44" s="18">
        <f>COUNTIFS('Group Stage'!$E$4:$E$75,"Sweden",'Group Stage'!$H$4:$H$75,"&lt;&gt;")+COUNTIFS('Group Stage'!$F$4:$F$75,"Sweden",'Group Stage'!$H$4:$H$75,"&lt;&gt;")</f>
        <v>2</v>
      </c>
      <c r="D44" s="18">
        <f>SUMPRODUCT(('Group Stage'!$E$4:$E$75="Sweden")*('Group Stage'!$H$4:$H$75&lt;&gt;"")*('Group Stage'!$H$4:$H$75&gt;'Group Stage'!$I$4:$I$75))+SUMPRODUCT(('Group Stage'!$F$4:$F$75="Sweden")*('Group Stage'!$H$4:$H$75&lt;&gt;"")*('Group Stage'!$I$4:$I$75&gt;'Group Stage'!$H$4:$H$75))</f>
        <v>1</v>
      </c>
      <c r="E44" s="18">
        <f>SUMPRODUCT((('Group Stage'!$E$4:$E$75="Sweden")+('Group Stage'!$F$4:$F$75="Sweden"))*('Group Stage'!$H$4:$H$75&lt;&gt;"")*('Group Stage'!$H$4:$H$75='Group Stage'!$I$4:$I$75))</f>
        <v>0</v>
      </c>
      <c r="F44" s="18">
        <f t="shared" si="22"/>
        <v>1</v>
      </c>
      <c r="G44" s="18">
        <f>SUMIFS('Group Stage'!$H$4:$H$75,'Group Stage'!$E$4:$E$75,"Sweden")+SUMIFS('Group Stage'!$I$4:$I$75,'Group Stage'!$F$4:$F$75,"Sweden")</f>
        <v>6</v>
      </c>
      <c r="H44" s="18">
        <f>SUMIFS('Group Stage'!$I$4:$I$75,'Group Stage'!$E$4:$E$75,"Sweden")+SUMIFS('Group Stage'!$H$4:$H$75,'Group Stage'!$F$4:$F$75,"Sweden")</f>
        <v>6</v>
      </c>
      <c r="I44" s="18">
        <f t="shared" si="23"/>
        <v>0</v>
      </c>
      <c r="J44" s="18">
        <f t="shared" si="24"/>
        <v>3</v>
      </c>
    </row>
    <row r="45" ht="15.75" customHeight="1"/>
    <row r="46" ht="15.75" customHeight="1">
      <c r="A46" s="14" t="s">
        <v>91</v>
      </c>
      <c r="B46" s="15"/>
      <c r="C46" s="15"/>
      <c r="D46" s="15"/>
      <c r="E46" s="15"/>
      <c r="F46" s="15"/>
      <c r="G46" s="15"/>
      <c r="H46" s="15"/>
      <c r="I46" s="15"/>
      <c r="J46" s="16"/>
    </row>
    <row r="47" ht="15.75" customHeight="1">
      <c r="A47" s="17" t="s">
        <v>52</v>
      </c>
      <c r="B47" s="17" t="s">
        <v>53</v>
      </c>
      <c r="C47" s="17" t="s">
        <v>54</v>
      </c>
      <c r="D47" s="17" t="s">
        <v>55</v>
      </c>
      <c r="E47" s="17" t="s">
        <v>56</v>
      </c>
      <c r="F47" s="17" t="s">
        <v>57</v>
      </c>
      <c r="G47" s="17" t="s">
        <v>58</v>
      </c>
      <c r="H47" s="17" t="s">
        <v>59</v>
      </c>
      <c r="I47" s="17" t="s">
        <v>60</v>
      </c>
      <c r="J47" s="17" t="s">
        <v>61</v>
      </c>
    </row>
    <row r="48" ht="15.75" customHeight="1">
      <c r="A48" s="18">
        <f t="shared" ref="A48:A51" si="25">IF(SUM($C$48:$C$51)=0,"-",SUMPRODUCT(--(($J$48:$J$51*1000+$I$48:$I$51*10+$G$48:$G$51)&gt;(J48*1000+I48*10+G48)))+1)</f>
        <v>3</v>
      </c>
      <c r="B48" s="19" t="s">
        <v>92</v>
      </c>
      <c r="C48" s="18">
        <f>COUNTIFS('Group Stage'!$E$4:$E$75,"Belgium",'Group Stage'!$H$4:$H$75,"&lt;&gt;")+COUNTIFS('Group Stage'!$F$4:$F$75,"Belgium",'Group Stage'!$H$4:$H$75,"&lt;&gt;")</f>
        <v>1</v>
      </c>
      <c r="D48" s="18">
        <f>SUMPRODUCT(('Group Stage'!$E$4:$E$75="Belgium")*('Group Stage'!$H$4:$H$75&lt;&gt;"")*('Group Stage'!$H$4:$H$75&gt;'Group Stage'!$I$4:$I$75))+SUMPRODUCT(('Group Stage'!$F$4:$F$75="Belgium")*('Group Stage'!$H$4:$H$75&lt;&gt;"")*('Group Stage'!$I$4:$I$75&gt;'Group Stage'!$H$4:$H$75))</f>
        <v>0</v>
      </c>
      <c r="E48" s="18">
        <f>SUMPRODUCT((('Group Stage'!$E$4:$E$75="Belgium")+('Group Stage'!$F$4:$F$75="Belgium"))*('Group Stage'!$H$4:$H$75&lt;&gt;"")*('Group Stage'!$H$4:$H$75='Group Stage'!$I$4:$I$75))</f>
        <v>1</v>
      </c>
      <c r="F48" s="18">
        <f t="shared" ref="F48:F51" si="26">C48-D48-E48</f>
        <v>0</v>
      </c>
      <c r="G48" s="18">
        <f>SUMIFS('Group Stage'!$H$4:$H$75,'Group Stage'!$E$4:$E$75,"Belgium")+SUMIFS('Group Stage'!$I$4:$I$75,'Group Stage'!$F$4:$F$75,"Belgium")</f>
        <v>1</v>
      </c>
      <c r="H48" s="18">
        <f>SUMIFS('Group Stage'!$I$4:$I$75,'Group Stage'!$E$4:$E$75,"Belgium")+SUMIFS('Group Stage'!$H$4:$H$75,'Group Stage'!$F$4:$F$75,"Belgium")</f>
        <v>1</v>
      </c>
      <c r="I48" s="18">
        <f t="shared" ref="I48:I51" si="27">G48-H48</f>
        <v>0</v>
      </c>
      <c r="J48" s="18">
        <f t="shared" ref="J48:J51" si="28">3*D48+E48</f>
        <v>1</v>
      </c>
    </row>
    <row r="49" ht="15.75" customHeight="1">
      <c r="A49" s="18">
        <f t="shared" si="25"/>
        <v>3</v>
      </c>
      <c r="B49" s="19" t="s">
        <v>93</v>
      </c>
      <c r="C49" s="18">
        <f>COUNTIFS('Group Stage'!$E$4:$E$75,"Egypt",'Group Stage'!$H$4:$H$75,"&lt;&gt;")+COUNTIFS('Group Stage'!$F$4:$F$75,"Egypt",'Group Stage'!$H$4:$H$75,"&lt;&gt;")</f>
        <v>1</v>
      </c>
      <c r="D49" s="18">
        <f>SUMPRODUCT(('Group Stage'!$E$4:$E$75="Egypt")*('Group Stage'!$H$4:$H$75&lt;&gt;"")*('Group Stage'!$H$4:$H$75&gt;'Group Stage'!$I$4:$I$75))+SUMPRODUCT(('Group Stage'!$F$4:$F$75="Egypt")*('Group Stage'!$H$4:$H$75&lt;&gt;"")*('Group Stage'!$I$4:$I$75&gt;'Group Stage'!$H$4:$H$75))</f>
        <v>0</v>
      </c>
      <c r="E49" s="18">
        <f>SUMPRODUCT((('Group Stage'!$E$4:$E$75="Egypt")+('Group Stage'!$F$4:$F$75="Egypt"))*('Group Stage'!$H$4:$H$75&lt;&gt;"")*('Group Stage'!$H$4:$H$75='Group Stage'!$I$4:$I$75))</f>
        <v>1</v>
      </c>
      <c r="F49" s="18">
        <f t="shared" si="26"/>
        <v>0</v>
      </c>
      <c r="G49" s="18">
        <f>SUMIFS('Group Stage'!$H$4:$H$75,'Group Stage'!$E$4:$E$75,"Egypt")+SUMIFS('Group Stage'!$I$4:$I$75,'Group Stage'!$F$4:$F$75,"Egypt")</f>
        <v>1</v>
      </c>
      <c r="H49" s="18">
        <f>SUMIFS('Group Stage'!$I$4:$I$75,'Group Stage'!$E$4:$E$75,"Egypt")+SUMIFS('Group Stage'!$H$4:$H$75,'Group Stage'!$F$4:$F$75,"Egypt")</f>
        <v>1</v>
      </c>
      <c r="I49" s="18">
        <f t="shared" si="27"/>
        <v>0</v>
      </c>
      <c r="J49" s="18">
        <f t="shared" si="28"/>
        <v>1</v>
      </c>
    </row>
    <row r="50" ht="15.75" customHeight="1">
      <c r="A50" s="18">
        <f t="shared" si="25"/>
        <v>1</v>
      </c>
      <c r="B50" s="19" t="s">
        <v>94</v>
      </c>
      <c r="C50" s="18">
        <f>COUNTIFS('Group Stage'!$E$4:$E$75,"Iran",'Group Stage'!$H$4:$H$75,"&lt;&gt;")+COUNTIFS('Group Stage'!$F$4:$F$75,"Iran",'Group Stage'!$H$4:$H$75,"&lt;&gt;")</f>
        <v>1</v>
      </c>
      <c r="D50" s="18">
        <f>SUMPRODUCT(('Group Stage'!$E$4:$E$75="Iran")*('Group Stage'!$H$4:$H$75&lt;&gt;"")*('Group Stage'!$H$4:$H$75&gt;'Group Stage'!$I$4:$I$75))+SUMPRODUCT(('Group Stage'!$F$4:$F$75="Iran")*('Group Stage'!$H$4:$H$75&lt;&gt;"")*('Group Stage'!$I$4:$I$75&gt;'Group Stage'!$H$4:$H$75))</f>
        <v>0</v>
      </c>
      <c r="E50" s="18">
        <f>SUMPRODUCT((('Group Stage'!$E$4:$E$75="Iran")+('Group Stage'!$F$4:$F$75="Iran"))*('Group Stage'!$H$4:$H$75&lt;&gt;"")*('Group Stage'!$H$4:$H$75='Group Stage'!$I$4:$I$75))</f>
        <v>1</v>
      </c>
      <c r="F50" s="18">
        <f t="shared" si="26"/>
        <v>0</v>
      </c>
      <c r="G50" s="18">
        <f>SUMIFS('Group Stage'!$H$4:$H$75,'Group Stage'!$E$4:$E$75,"Iran")+SUMIFS('Group Stage'!$I$4:$I$75,'Group Stage'!$F$4:$F$75,"Iran")</f>
        <v>2</v>
      </c>
      <c r="H50" s="18">
        <f>SUMIFS('Group Stage'!$I$4:$I$75,'Group Stage'!$E$4:$E$75,"Iran")+SUMIFS('Group Stage'!$H$4:$H$75,'Group Stage'!$F$4:$F$75,"Iran")</f>
        <v>2</v>
      </c>
      <c r="I50" s="18">
        <f t="shared" si="27"/>
        <v>0</v>
      </c>
      <c r="J50" s="18">
        <f t="shared" si="28"/>
        <v>1</v>
      </c>
    </row>
    <row r="51" ht="15.75" customHeight="1">
      <c r="A51" s="18">
        <f t="shared" si="25"/>
        <v>1</v>
      </c>
      <c r="B51" s="19" t="s">
        <v>95</v>
      </c>
      <c r="C51" s="18">
        <f>COUNTIFS('Group Stage'!$E$4:$E$75,"New Zealand",'Group Stage'!$H$4:$H$75,"&lt;&gt;")+COUNTIFS('Group Stage'!$F$4:$F$75,"New Zealand",'Group Stage'!$H$4:$H$75,"&lt;&gt;")</f>
        <v>1</v>
      </c>
      <c r="D51" s="18">
        <f>SUMPRODUCT(('Group Stage'!$E$4:$E$75="New Zealand")*('Group Stage'!$H$4:$H$75&lt;&gt;"")*('Group Stage'!$H$4:$H$75&gt;'Group Stage'!$I$4:$I$75))+SUMPRODUCT(('Group Stage'!$F$4:$F$75="New Zealand")*('Group Stage'!$H$4:$H$75&lt;&gt;"")*('Group Stage'!$I$4:$I$75&gt;'Group Stage'!$H$4:$H$75))</f>
        <v>0</v>
      </c>
      <c r="E51" s="18">
        <f>SUMPRODUCT((('Group Stage'!$E$4:$E$75="New Zealand")+('Group Stage'!$F$4:$F$75="New Zealand"))*('Group Stage'!$H$4:$H$75&lt;&gt;"")*('Group Stage'!$H$4:$H$75='Group Stage'!$I$4:$I$75))</f>
        <v>1</v>
      </c>
      <c r="F51" s="18">
        <f t="shared" si="26"/>
        <v>0</v>
      </c>
      <c r="G51" s="18">
        <f>SUMIFS('Group Stage'!$H$4:$H$75,'Group Stage'!$E$4:$E$75,"New Zealand")+SUMIFS('Group Stage'!$I$4:$I$75,'Group Stage'!$F$4:$F$75,"New Zealand")</f>
        <v>2</v>
      </c>
      <c r="H51" s="18">
        <f>SUMIFS('Group Stage'!$I$4:$I$75,'Group Stage'!$E$4:$E$75,"New Zealand")+SUMIFS('Group Stage'!$H$4:$H$75,'Group Stage'!$F$4:$F$75,"New Zealand")</f>
        <v>2</v>
      </c>
      <c r="I51" s="18">
        <f t="shared" si="27"/>
        <v>0</v>
      </c>
      <c r="J51" s="18">
        <f t="shared" si="28"/>
        <v>1</v>
      </c>
    </row>
    <row r="52" ht="15.75" customHeight="1"/>
    <row r="53" ht="15.75" customHeight="1">
      <c r="A53" s="14" t="s">
        <v>96</v>
      </c>
      <c r="B53" s="15"/>
      <c r="C53" s="15"/>
      <c r="D53" s="15"/>
      <c r="E53" s="15"/>
      <c r="F53" s="15"/>
      <c r="G53" s="15"/>
      <c r="H53" s="15"/>
      <c r="I53" s="15"/>
      <c r="J53" s="16"/>
    </row>
    <row r="54" ht="15.75" customHeight="1">
      <c r="A54" s="17" t="s">
        <v>52</v>
      </c>
      <c r="B54" s="17" t="s">
        <v>53</v>
      </c>
      <c r="C54" s="17" t="s">
        <v>54</v>
      </c>
      <c r="D54" s="17" t="s">
        <v>55</v>
      </c>
      <c r="E54" s="17" t="s">
        <v>56</v>
      </c>
      <c r="F54" s="17" t="s">
        <v>57</v>
      </c>
      <c r="G54" s="17" t="s">
        <v>58</v>
      </c>
      <c r="H54" s="17" t="s">
        <v>59</v>
      </c>
      <c r="I54" s="17" t="s">
        <v>60</v>
      </c>
      <c r="J54" s="17" t="s">
        <v>61</v>
      </c>
    </row>
    <row r="55" ht="15.75" customHeight="1">
      <c r="A55" s="18">
        <f t="shared" ref="A55:A58" si="29">IF(SUM($C$55:$C$58)=0,"-",SUMPRODUCT(--(($J$55:$J$58*1000+$I$55:$I$58*10+$G$55:$G$58)&gt;(J55*1000+I55*10+G55)))+1)</f>
        <v>1</v>
      </c>
      <c r="B55" s="19" t="s">
        <v>97</v>
      </c>
      <c r="C55" s="18">
        <f>COUNTIFS('Group Stage'!$E$4:$E$75,"Spain",'Group Stage'!$H$4:$H$75,"&lt;&gt;")+COUNTIFS('Group Stage'!$F$4:$F$75,"Spain",'Group Stage'!$H$4:$H$75,"&lt;&gt;")</f>
        <v>2</v>
      </c>
      <c r="D55" s="18">
        <f>SUMPRODUCT(('Group Stage'!$E$4:$E$75="Spain")*('Group Stage'!$H$4:$H$75&lt;&gt;"")*('Group Stage'!$H$4:$H$75&gt;'Group Stage'!$I$4:$I$75))+SUMPRODUCT(('Group Stage'!$F$4:$F$75="Spain")*('Group Stage'!$H$4:$H$75&lt;&gt;"")*('Group Stage'!$I$4:$I$75&gt;'Group Stage'!$H$4:$H$75))</f>
        <v>1</v>
      </c>
      <c r="E55" s="18">
        <f>SUMPRODUCT((('Group Stage'!$E$4:$E$75="Spain")+('Group Stage'!$F$4:$F$75="Spain"))*('Group Stage'!$H$4:$H$75&lt;&gt;"")*('Group Stage'!$H$4:$H$75='Group Stage'!$I$4:$I$75))</f>
        <v>1</v>
      </c>
      <c r="F55" s="18">
        <f t="shared" ref="F55:F58" si="30">C55-D55-E55</f>
        <v>0</v>
      </c>
      <c r="G55" s="18">
        <f>SUMIFS('Group Stage'!$H$4:$H$75,'Group Stage'!$E$4:$E$75,"Spain")+SUMIFS('Group Stage'!$I$4:$I$75,'Group Stage'!$F$4:$F$75,"Spain")</f>
        <v>5</v>
      </c>
      <c r="H55" s="18">
        <f>SUMIFS('Group Stage'!$I$4:$I$75,'Group Stage'!$E$4:$E$75,"Spain")+SUMIFS('Group Stage'!$H$4:$H$75,'Group Stage'!$F$4:$F$75,"Spain")</f>
        <v>0</v>
      </c>
      <c r="I55" s="18">
        <f t="shared" ref="I55:I58" si="31">G55-H55</f>
        <v>5</v>
      </c>
      <c r="J55" s="18">
        <f t="shared" ref="J55:J58" si="32">3*D55+E55</f>
        <v>4</v>
      </c>
    </row>
    <row r="56" ht="15.75" customHeight="1">
      <c r="A56" s="18">
        <f t="shared" si="29"/>
        <v>3</v>
      </c>
      <c r="B56" s="19" t="s">
        <v>98</v>
      </c>
      <c r="C56" s="18">
        <f>COUNTIFS('Group Stage'!$E$4:$E$75,"Cape Verde",'Group Stage'!$H$4:$H$75,"&lt;&gt;")+COUNTIFS('Group Stage'!$F$4:$F$75,"Cape Verde",'Group Stage'!$H$4:$H$75,"&lt;&gt;")</f>
        <v>1</v>
      </c>
      <c r="D56" s="18">
        <f>SUMPRODUCT(('Group Stage'!$E$4:$E$75="Cape Verde")*('Group Stage'!$H$4:$H$75&lt;&gt;"")*('Group Stage'!$H$4:$H$75&gt;'Group Stage'!$I$4:$I$75))+SUMPRODUCT(('Group Stage'!$F$4:$F$75="Cape Verde")*('Group Stage'!$H$4:$H$75&lt;&gt;"")*('Group Stage'!$I$4:$I$75&gt;'Group Stage'!$H$4:$H$75))</f>
        <v>0</v>
      </c>
      <c r="E56" s="18">
        <f>SUMPRODUCT((('Group Stage'!$E$4:$E$75="Cape Verde")+('Group Stage'!$F$4:$F$75="Cape Verde"))*('Group Stage'!$H$4:$H$75&lt;&gt;"")*('Group Stage'!$H$4:$H$75='Group Stage'!$I$4:$I$75))</f>
        <v>1</v>
      </c>
      <c r="F56" s="18">
        <f t="shared" si="30"/>
        <v>0</v>
      </c>
      <c r="G56" s="18">
        <f>SUMIFS('Group Stage'!$H$4:$H$75,'Group Stage'!$E$4:$E$75,"Cape Verde")+SUMIFS('Group Stage'!$I$4:$I$75,'Group Stage'!$F$4:$F$75,"Cape Verde")</f>
        <v>0</v>
      </c>
      <c r="H56" s="18">
        <f>SUMIFS('Group Stage'!$I$4:$I$75,'Group Stage'!$E$4:$E$75,"Cape Verde")+SUMIFS('Group Stage'!$H$4:$H$75,'Group Stage'!$F$4:$F$75,"Cape Verde")</f>
        <v>0</v>
      </c>
      <c r="I56" s="18">
        <f t="shared" si="31"/>
        <v>0</v>
      </c>
      <c r="J56" s="18">
        <f t="shared" si="32"/>
        <v>1</v>
      </c>
    </row>
    <row r="57" ht="15.75" customHeight="1">
      <c r="A57" s="18">
        <f t="shared" si="29"/>
        <v>4</v>
      </c>
      <c r="B57" s="19" t="s">
        <v>99</v>
      </c>
      <c r="C57" s="18">
        <f>COUNTIFS('Group Stage'!$E$4:$E$75,"Saudi Arabia",'Group Stage'!$H$4:$H$75,"&lt;&gt;")+COUNTIFS('Group Stage'!$F$4:$F$75,"Saudi Arabia",'Group Stage'!$H$4:$H$75,"&lt;&gt;")</f>
        <v>2</v>
      </c>
      <c r="D57" s="18">
        <f>SUMPRODUCT(('Group Stage'!$E$4:$E$75="Saudi Arabia")*('Group Stage'!$H$4:$H$75&lt;&gt;"")*('Group Stage'!$H$4:$H$75&gt;'Group Stage'!$I$4:$I$75))+SUMPRODUCT(('Group Stage'!$F$4:$F$75="Saudi Arabia")*('Group Stage'!$H$4:$H$75&lt;&gt;"")*('Group Stage'!$I$4:$I$75&gt;'Group Stage'!$H$4:$H$75))</f>
        <v>0</v>
      </c>
      <c r="E57" s="18">
        <f>SUMPRODUCT((('Group Stage'!$E$4:$E$75="Saudi Arabia")+('Group Stage'!$F$4:$F$75="Saudi Arabia"))*('Group Stage'!$H$4:$H$75&lt;&gt;"")*('Group Stage'!$H$4:$H$75='Group Stage'!$I$4:$I$75))</f>
        <v>1</v>
      </c>
      <c r="F57" s="18">
        <f t="shared" si="30"/>
        <v>1</v>
      </c>
      <c r="G57" s="18">
        <f>SUMIFS('Group Stage'!$H$4:$H$75,'Group Stage'!$E$4:$E$75,"Saudi Arabia")+SUMIFS('Group Stage'!$I$4:$I$75,'Group Stage'!$F$4:$F$75,"Saudi Arabia")</f>
        <v>1</v>
      </c>
      <c r="H57" s="18">
        <f>SUMIFS('Group Stage'!$I$4:$I$75,'Group Stage'!$E$4:$E$75,"Saudi Arabia")+SUMIFS('Group Stage'!$H$4:$H$75,'Group Stage'!$F$4:$F$75,"Saudi Arabia")</f>
        <v>6</v>
      </c>
      <c r="I57" s="18">
        <f t="shared" si="31"/>
        <v>-5</v>
      </c>
      <c r="J57" s="18">
        <f t="shared" si="32"/>
        <v>1</v>
      </c>
    </row>
    <row r="58" ht="15.75" customHeight="1">
      <c r="A58" s="18">
        <f t="shared" si="29"/>
        <v>2</v>
      </c>
      <c r="B58" s="19" t="s">
        <v>100</v>
      </c>
      <c r="C58" s="18">
        <f>COUNTIFS('Group Stage'!$E$4:$E$75,"Uruguay",'Group Stage'!$H$4:$H$75,"&lt;&gt;")+COUNTIFS('Group Stage'!$F$4:$F$75,"Uruguay",'Group Stage'!$H$4:$H$75,"&lt;&gt;")</f>
        <v>1</v>
      </c>
      <c r="D58" s="18">
        <f>SUMPRODUCT(('Group Stage'!$E$4:$E$75="Uruguay")*('Group Stage'!$H$4:$H$75&lt;&gt;"")*('Group Stage'!$H$4:$H$75&gt;'Group Stage'!$I$4:$I$75))+SUMPRODUCT(('Group Stage'!$F$4:$F$75="Uruguay")*('Group Stage'!$H$4:$H$75&lt;&gt;"")*('Group Stage'!$I$4:$I$75&gt;'Group Stage'!$H$4:$H$75))</f>
        <v>0</v>
      </c>
      <c r="E58" s="18">
        <f>SUMPRODUCT((('Group Stage'!$E$4:$E$75="Uruguay")+('Group Stage'!$F$4:$F$75="Uruguay"))*('Group Stage'!$H$4:$H$75&lt;&gt;"")*('Group Stage'!$H$4:$H$75='Group Stage'!$I$4:$I$75))</f>
        <v>1</v>
      </c>
      <c r="F58" s="18">
        <f t="shared" si="30"/>
        <v>0</v>
      </c>
      <c r="G58" s="18">
        <f>SUMIFS('Group Stage'!$H$4:$H$75,'Group Stage'!$E$4:$E$75,"Uruguay")+SUMIFS('Group Stage'!$I$4:$I$75,'Group Stage'!$F$4:$F$75,"Uruguay")</f>
        <v>1</v>
      </c>
      <c r="H58" s="18">
        <f>SUMIFS('Group Stage'!$I$4:$I$75,'Group Stage'!$E$4:$E$75,"Uruguay")+SUMIFS('Group Stage'!$H$4:$H$75,'Group Stage'!$F$4:$F$75,"Uruguay")</f>
        <v>1</v>
      </c>
      <c r="I58" s="18">
        <f t="shared" si="31"/>
        <v>0</v>
      </c>
      <c r="J58" s="18">
        <f t="shared" si="32"/>
        <v>1</v>
      </c>
    </row>
    <row r="59" ht="15.75" customHeight="1"/>
    <row r="60" ht="15.75" customHeight="1">
      <c r="A60" s="14" t="s">
        <v>101</v>
      </c>
      <c r="B60" s="15"/>
      <c r="C60" s="15"/>
      <c r="D60" s="15"/>
      <c r="E60" s="15"/>
      <c r="F60" s="15"/>
      <c r="G60" s="15"/>
      <c r="H60" s="15"/>
      <c r="I60" s="15"/>
      <c r="J60" s="16"/>
    </row>
    <row r="61" ht="15.75" customHeight="1">
      <c r="A61" s="17" t="s">
        <v>52</v>
      </c>
      <c r="B61" s="17" t="s">
        <v>53</v>
      </c>
      <c r="C61" s="17" t="s">
        <v>54</v>
      </c>
      <c r="D61" s="17" t="s">
        <v>55</v>
      </c>
      <c r="E61" s="17" t="s">
        <v>56</v>
      </c>
      <c r="F61" s="17" t="s">
        <v>57</v>
      </c>
      <c r="G61" s="17" t="s">
        <v>58</v>
      </c>
      <c r="H61" s="17" t="s">
        <v>59</v>
      </c>
      <c r="I61" s="17" t="s">
        <v>60</v>
      </c>
      <c r="J61" s="17" t="s">
        <v>61</v>
      </c>
    </row>
    <row r="62" ht="15.75" customHeight="1">
      <c r="A62" s="18">
        <f t="shared" ref="A62:A65" si="33">IF(SUM($C$62:$C$65)=0,"-",SUMPRODUCT(--(($J$62:$J$65*1000+$I$62:$I$65*10+$G$62:$G$65)&gt;(J62*1000+I62*10+G62)))+1)</f>
        <v>2</v>
      </c>
      <c r="B62" s="19" t="s">
        <v>102</v>
      </c>
      <c r="C62" s="18">
        <f>COUNTIFS('Group Stage'!$E$4:$E$75,"France",'Group Stage'!$H$4:$H$75,"&lt;&gt;")+COUNTIFS('Group Stage'!$F$4:$F$75,"France",'Group Stage'!$H$4:$H$75,"&lt;&gt;")</f>
        <v>1</v>
      </c>
      <c r="D62" s="18">
        <f>SUMPRODUCT(('Group Stage'!$E$4:$E$75="France")*('Group Stage'!$H$4:$H$75&lt;&gt;"")*('Group Stage'!$H$4:$H$75&gt;'Group Stage'!$I$4:$I$75))+SUMPRODUCT(('Group Stage'!$F$4:$F$75="France")*('Group Stage'!$H$4:$H$75&lt;&gt;"")*('Group Stage'!$I$4:$I$75&gt;'Group Stage'!$H$4:$H$75))</f>
        <v>1</v>
      </c>
      <c r="E62" s="18">
        <f>SUMPRODUCT((('Group Stage'!$E$4:$E$75="France")+('Group Stage'!$F$4:$F$75="France"))*('Group Stage'!$H$4:$H$75&lt;&gt;"")*('Group Stage'!$H$4:$H$75='Group Stage'!$I$4:$I$75))</f>
        <v>0</v>
      </c>
      <c r="F62" s="18">
        <f t="shared" ref="F62:F65" si="34">C62-D62-E62</f>
        <v>0</v>
      </c>
      <c r="G62" s="18">
        <f>SUMIFS('Group Stage'!$H$4:$H$75,'Group Stage'!$E$4:$E$75,"France")+SUMIFS('Group Stage'!$I$4:$I$75,'Group Stage'!$F$4:$F$75,"France")</f>
        <v>3</v>
      </c>
      <c r="H62" s="18">
        <f>SUMIFS('Group Stage'!$I$4:$I$75,'Group Stage'!$E$4:$E$75,"France")+SUMIFS('Group Stage'!$H$4:$H$75,'Group Stage'!$F$4:$F$75,"France")</f>
        <v>1</v>
      </c>
      <c r="I62" s="18">
        <f t="shared" ref="I62:I65" si="35">G62-H62</f>
        <v>2</v>
      </c>
      <c r="J62" s="18">
        <f t="shared" ref="J62:J65" si="36">3*D62+E62</f>
        <v>3</v>
      </c>
    </row>
    <row r="63" ht="15.75" customHeight="1">
      <c r="A63" s="18">
        <f t="shared" si="33"/>
        <v>3</v>
      </c>
      <c r="B63" s="19" t="s">
        <v>103</v>
      </c>
      <c r="C63" s="18">
        <f>COUNTIFS('Group Stage'!$E$4:$E$75,"Senegal",'Group Stage'!$H$4:$H$75,"&lt;&gt;")+COUNTIFS('Group Stage'!$F$4:$F$75,"Senegal",'Group Stage'!$H$4:$H$75,"&lt;&gt;")</f>
        <v>1</v>
      </c>
      <c r="D63" s="18">
        <f>SUMPRODUCT(('Group Stage'!$E$4:$E$75="Senegal")*('Group Stage'!$H$4:$H$75&lt;&gt;"")*('Group Stage'!$H$4:$H$75&gt;'Group Stage'!$I$4:$I$75))+SUMPRODUCT(('Group Stage'!$F$4:$F$75="Senegal")*('Group Stage'!$H$4:$H$75&lt;&gt;"")*('Group Stage'!$I$4:$I$75&gt;'Group Stage'!$H$4:$H$75))</f>
        <v>0</v>
      </c>
      <c r="E63" s="18">
        <f>SUMPRODUCT((('Group Stage'!$E$4:$E$75="Senegal")+('Group Stage'!$F$4:$F$75="Senegal"))*('Group Stage'!$H$4:$H$75&lt;&gt;"")*('Group Stage'!$H$4:$H$75='Group Stage'!$I$4:$I$75))</f>
        <v>0</v>
      </c>
      <c r="F63" s="18">
        <f t="shared" si="34"/>
        <v>1</v>
      </c>
      <c r="G63" s="18">
        <f>SUMIFS('Group Stage'!$H$4:$H$75,'Group Stage'!$E$4:$E$75,"Senegal")+SUMIFS('Group Stage'!$I$4:$I$75,'Group Stage'!$F$4:$F$75,"Senegal")</f>
        <v>1</v>
      </c>
      <c r="H63" s="18">
        <f>SUMIFS('Group Stage'!$I$4:$I$75,'Group Stage'!$E$4:$E$75,"Senegal")+SUMIFS('Group Stage'!$H$4:$H$75,'Group Stage'!$F$4:$F$75,"Senegal")</f>
        <v>3</v>
      </c>
      <c r="I63" s="18">
        <f t="shared" si="35"/>
        <v>-2</v>
      </c>
      <c r="J63" s="18">
        <f t="shared" si="36"/>
        <v>0</v>
      </c>
    </row>
    <row r="64" ht="15.75" customHeight="1">
      <c r="A64" s="18">
        <f t="shared" si="33"/>
        <v>1</v>
      </c>
      <c r="B64" s="19" t="s">
        <v>104</v>
      </c>
      <c r="C64" s="18">
        <f>COUNTIFS('Group Stage'!$E$4:$E$75,"Norway",'Group Stage'!$H$4:$H$75,"&lt;&gt;")+COUNTIFS('Group Stage'!$F$4:$F$75,"Norway",'Group Stage'!$H$4:$H$75,"&lt;&gt;")</f>
        <v>1</v>
      </c>
      <c r="D64" s="18">
        <f>SUMPRODUCT(('Group Stage'!$E$4:$E$75="Norway")*('Group Stage'!$H$4:$H$75&lt;&gt;"")*('Group Stage'!$H$4:$H$75&gt;'Group Stage'!$I$4:$I$75))+SUMPRODUCT(('Group Stage'!$F$4:$F$75="Norway")*('Group Stage'!$H$4:$H$75&lt;&gt;"")*('Group Stage'!$I$4:$I$75&gt;'Group Stage'!$H$4:$H$75))</f>
        <v>1</v>
      </c>
      <c r="E64" s="18">
        <f>SUMPRODUCT((('Group Stage'!$E$4:$E$75="Norway")+('Group Stage'!$F$4:$F$75="Norway"))*('Group Stage'!$H$4:$H$75&lt;&gt;"")*('Group Stage'!$H$4:$H$75='Group Stage'!$I$4:$I$75))</f>
        <v>0</v>
      </c>
      <c r="F64" s="18">
        <f t="shared" si="34"/>
        <v>0</v>
      </c>
      <c r="G64" s="18">
        <f>SUMIFS('Group Stage'!$H$4:$H$75,'Group Stage'!$E$4:$E$75,"Norway")+SUMIFS('Group Stage'!$I$4:$I$75,'Group Stage'!$F$4:$F$75,"Norway")</f>
        <v>4</v>
      </c>
      <c r="H64" s="18">
        <f>SUMIFS('Group Stage'!$I$4:$I$75,'Group Stage'!$E$4:$E$75,"Norway")+SUMIFS('Group Stage'!$H$4:$H$75,'Group Stage'!$F$4:$F$75,"Norway")</f>
        <v>1</v>
      </c>
      <c r="I64" s="18">
        <f t="shared" si="35"/>
        <v>3</v>
      </c>
      <c r="J64" s="18">
        <f t="shared" si="36"/>
        <v>3</v>
      </c>
    </row>
    <row r="65" ht="15.75" customHeight="1">
      <c r="A65" s="18">
        <f t="shared" si="33"/>
        <v>4</v>
      </c>
      <c r="B65" s="19" t="s">
        <v>105</v>
      </c>
      <c r="C65" s="18">
        <f>COUNTIFS('Group Stage'!$E$4:$E$75,"Iraq",'Group Stage'!$H$4:$H$75,"&lt;&gt;")+COUNTIFS('Group Stage'!$F$4:$F$75,"Iraq",'Group Stage'!$H$4:$H$75,"&lt;&gt;")</f>
        <v>1</v>
      </c>
      <c r="D65" s="18">
        <f>SUMPRODUCT(('Group Stage'!$E$4:$E$75="Iraq")*('Group Stage'!$H$4:$H$75&lt;&gt;"")*('Group Stage'!$H$4:$H$75&gt;'Group Stage'!$I$4:$I$75))+SUMPRODUCT(('Group Stage'!$F$4:$F$75="Iraq")*('Group Stage'!$H$4:$H$75&lt;&gt;"")*('Group Stage'!$I$4:$I$75&gt;'Group Stage'!$H$4:$H$75))</f>
        <v>0</v>
      </c>
      <c r="E65" s="18">
        <f>SUMPRODUCT((('Group Stage'!$E$4:$E$75="Iraq")+('Group Stage'!$F$4:$F$75="Iraq"))*('Group Stage'!$H$4:$H$75&lt;&gt;"")*('Group Stage'!$H$4:$H$75='Group Stage'!$I$4:$I$75))</f>
        <v>0</v>
      </c>
      <c r="F65" s="18">
        <f t="shared" si="34"/>
        <v>1</v>
      </c>
      <c r="G65" s="18">
        <f>SUMIFS('Group Stage'!$H$4:$H$75,'Group Stage'!$E$4:$E$75,"Iraq")+SUMIFS('Group Stage'!$I$4:$I$75,'Group Stage'!$F$4:$F$75,"Iraq")</f>
        <v>1</v>
      </c>
      <c r="H65" s="18">
        <f>SUMIFS('Group Stage'!$I$4:$I$75,'Group Stage'!$E$4:$E$75,"Iraq")+SUMIFS('Group Stage'!$H$4:$H$75,'Group Stage'!$F$4:$F$75,"Iraq")</f>
        <v>4</v>
      </c>
      <c r="I65" s="18">
        <f t="shared" si="35"/>
        <v>-3</v>
      </c>
      <c r="J65" s="18">
        <f t="shared" si="36"/>
        <v>0</v>
      </c>
    </row>
    <row r="66" ht="15.75" customHeight="1"/>
    <row r="67" ht="15.75" customHeight="1">
      <c r="A67" s="14" t="s">
        <v>106</v>
      </c>
      <c r="B67" s="15"/>
      <c r="C67" s="15"/>
      <c r="D67" s="15"/>
      <c r="E67" s="15"/>
      <c r="F67" s="15"/>
      <c r="G67" s="15"/>
      <c r="H67" s="15"/>
      <c r="I67" s="15"/>
      <c r="J67" s="16"/>
    </row>
    <row r="68" ht="15.75" customHeight="1">
      <c r="A68" s="17" t="s">
        <v>52</v>
      </c>
      <c r="B68" s="17" t="s">
        <v>53</v>
      </c>
      <c r="C68" s="17" t="s">
        <v>54</v>
      </c>
      <c r="D68" s="17" t="s">
        <v>55</v>
      </c>
      <c r="E68" s="17" t="s">
        <v>56</v>
      </c>
      <c r="F68" s="17" t="s">
        <v>57</v>
      </c>
      <c r="G68" s="17" t="s">
        <v>58</v>
      </c>
      <c r="H68" s="17" t="s">
        <v>59</v>
      </c>
      <c r="I68" s="17" t="s">
        <v>60</v>
      </c>
      <c r="J68" s="17" t="s">
        <v>61</v>
      </c>
    </row>
    <row r="69" ht="15.75" customHeight="1">
      <c r="A69" s="18">
        <f t="shared" ref="A69:A72" si="37">IF(SUM($C$69:$C$72)=0,"-",SUMPRODUCT(--(($J$69:$J$72*1000+$I$69:$I$72*10+$G$69:$G$72)&gt;(J69*1000+I69*10+G69)))+1)</f>
        <v>1</v>
      </c>
      <c r="B69" s="19" t="s">
        <v>107</v>
      </c>
      <c r="C69" s="18">
        <f>COUNTIFS('Group Stage'!$E$4:$E$75,"Argentina",'Group Stage'!$H$4:$H$75,"&lt;&gt;")+COUNTIFS('Group Stage'!$F$4:$F$75,"Argentina",'Group Stage'!$H$4:$H$75,"&lt;&gt;")</f>
        <v>1</v>
      </c>
      <c r="D69" s="18">
        <f>SUMPRODUCT(('Group Stage'!$E$4:$E$75="Argentina")*('Group Stage'!$H$4:$H$75&lt;&gt;"")*('Group Stage'!$H$4:$H$75&gt;'Group Stage'!$I$4:$I$75))+SUMPRODUCT(('Group Stage'!$F$4:$F$75="Argentina")*('Group Stage'!$H$4:$H$75&lt;&gt;"")*('Group Stage'!$I$4:$I$75&gt;'Group Stage'!$H$4:$H$75))</f>
        <v>1</v>
      </c>
      <c r="E69" s="18">
        <f>SUMPRODUCT((('Group Stage'!$E$4:$E$75="Argentina")+('Group Stage'!$F$4:$F$75="Argentina"))*('Group Stage'!$H$4:$H$75&lt;&gt;"")*('Group Stage'!$H$4:$H$75='Group Stage'!$I$4:$I$75))</f>
        <v>0</v>
      </c>
      <c r="F69" s="18">
        <f t="shared" ref="F69:F72" si="38">C69-D69-E69</f>
        <v>0</v>
      </c>
      <c r="G69" s="18">
        <f>SUMIFS('Group Stage'!$H$4:$H$75,'Group Stage'!$E$4:$E$75,"Argentina")+SUMIFS('Group Stage'!$I$4:$I$75,'Group Stage'!$F$4:$F$75,"Argentina")</f>
        <v>3</v>
      </c>
      <c r="H69" s="18">
        <f>SUMIFS('Group Stage'!$I$4:$I$75,'Group Stage'!$E$4:$E$75,"Argentina")+SUMIFS('Group Stage'!$H$4:$H$75,'Group Stage'!$F$4:$F$75,"Argentina")</f>
        <v>0</v>
      </c>
      <c r="I69" s="18">
        <f t="shared" ref="I69:I72" si="39">G69-H69</f>
        <v>3</v>
      </c>
      <c r="J69" s="18">
        <f t="shared" ref="J69:J72" si="40">3*D69+E69</f>
        <v>3</v>
      </c>
    </row>
    <row r="70" ht="15.75" customHeight="1">
      <c r="A70" s="18">
        <f t="shared" si="37"/>
        <v>4</v>
      </c>
      <c r="B70" s="19" t="s">
        <v>108</v>
      </c>
      <c r="C70" s="18">
        <f>COUNTIFS('Group Stage'!$E$4:$E$75,"Algeria",'Group Stage'!$H$4:$H$75,"&lt;&gt;")+COUNTIFS('Group Stage'!$F$4:$F$75,"Algeria",'Group Stage'!$H$4:$H$75,"&lt;&gt;")</f>
        <v>1</v>
      </c>
      <c r="D70" s="18">
        <f>SUMPRODUCT(('Group Stage'!$E$4:$E$75="Algeria")*('Group Stage'!$H$4:$H$75&lt;&gt;"")*('Group Stage'!$H$4:$H$75&gt;'Group Stage'!$I$4:$I$75))+SUMPRODUCT(('Group Stage'!$F$4:$F$75="Algeria")*('Group Stage'!$H$4:$H$75&lt;&gt;"")*('Group Stage'!$I$4:$I$75&gt;'Group Stage'!$H$4:$H$75))</f>
        <v>0</v>
      </c>
      <c r="E70" s="18">
        <f>SUMPRODUCT((('Group Stage'!$E$4:$E$75="Algeria")+('Group Stage'!$F$4:$F$75="Algeria"))*('Group Stage'!$H$4:$H$75&lt;&gt;"")*('Group Stage'!$H$4:$H$75='Group Stage'!$I$4:$I$75))</f>
        <v>0</v>
      </c>
      <c r="F70" s="18">
        <f t="shared" si="38"/>
        <v>1</v>
      </c>
      <c r="G70" s="18">
        <f>SUMIFS('Group Stage'!$H$4:$H$75,'Group Stage'!$E$4:$E$75,"Algeria")+SUMIFS('Group Stage'!$I$4:$I$75,'Group Stage'!$F$4:$F$75,"Algeria")</f>
        <v>0</v>
      </c>
      <c r="H70" s="18">
        <f>SUMIFS('Group Stage'!$I$4:$I$75,'Group Stage'!$E$4:$E$75,"Algeria")+SUMIFS('Group Stage'!$H$4:$H$75,'Group Stage'!$F$4:$F$75,"Algeria")</f>
        <v>3</v>
      </c>
      <c r="I70" s="18">
        <f t="shared" si="39"/>
        <v>-3</v>
      </c>
      <c r="J70" s="18">
        <f t="shared" si="40"/>
        <v>0</v>
      </c>
    </row>
    <row r="71" ht="15.75" customHeight="1">
      <c r="A71" s="18">
        <f t="shared" si="37"/>
        <v>2</v>
      </c>
      <c r="B71" s="19" t="s">
        <v>109</v>
      </c>
      <c r="C71" s="18">
        <f>COUNTIFS('Group Stage'!$E$4:$E$75,"Austria",'Group Stage'!$H$4:$H$75,"&lt;&gt;")+COUNTIFS('Group Stage'!$F$4:$F$75,"Austria",'Group Stage'!$H$4:$H$75,"&lt;&gt;")</f>
        <v>1</v>
      </c>
      <c r="D71" s="18">
        <f>SUMPRODUCT(('Group Stage'!$E$4:$E$75="Austria")*('Group Stage'!$H$4:$H$75&lt;&gt;"")*('Group Stage'!$H$4:$H$75&gt;'Group Stage'!$I$4:$I$75))+SUMPRODUCT(('Group Stage'!$F$4:$F$75="Austria")*('Group Stage'!$H$4:$H$75&lt;&gt;"")*('Group Stage'!$I$4:$I$75&gt;'Group Stage'!$H$4:$H$75))</f>
        <v>1</v>
      </c>
      <c r="E71" s="18">
        <f>SUMPRODUCT((('Group Stage'!$E$4:$E$75="Austria")+('Group Stage'!$F$4:$F$75="Austria"))*('Group Stage'!$H$4:$H$75&lt;&gt;"")*('Group Stage'!$H$4:$H$75='Group Stage'!$I$4:$I$75))</f>
        <v>0</v>
      </c>
      <c r="F71" s="18">
        <f t="shared" si="38"/>
        <v>0</v>
      </c>
      <c r="G71" s="18">
        <f>SUMIFS('Group Stage'!$H$4:$H$75,'Group Stage'!$E$4:$E$75,"Austria")+SUMIFS('Group Stage'!$I$4:$I$75,'Group Stage'!$F$4:$F$75,"Austria")</f>
        <v>3</v>
      </c>
      <c r="H71" s="18">
        <f>SUMIFS('Group Stage'!$I$4:$I$75,'Group Stage'!$E$4:$E$75,"Austria")+SUMIFS('Group Stage'!$H$4:$H$75,'Group Stage'!$F$4:$F$75,"Austria")</f>
        <v>1</v>
      </c>
      <c r="I71" s="18">
        <f t="shared" si="39"/>
        <v>2</v>
      </c>
      <c r="J71" s="18">
        <f t="shared" si="40"/>
        <v>3</v>
      </c>
    </row>
    <row r="72" ht="15.75" customHeight="1">
      <c r="A72" s="18">
        <f t="shared" si="37"/>
        <v>3</v>
      </c>
      <c r="B72" s="19" t="s">
        <v>110</v>
      </c>
      <c r="C72" s="18">
        <f>COUNTIFS('Group Stage'!$E$4:$E$75,"Jordan",'Group Stage'!$H$4:$H$75,"&lt;&gt;")+COUNTIFS('Group Stage'!$F$4:$F$75,"Jordan",'Group Stage'!$H$4:$H$75,"&lt;&gt;")</f>
        <v>1</v>
      </c>
      <c r="D72" s="18">
        <f>SUMPRODUCT(('Group Stage'!$E$4:$E$75="Jordan")*('Group Stage'!$H$4:$H$75&lt;&gt;"")*('Group Stage'!$H$4:$H$75&gt;'Group Stage'!$I$4:$I$75))+SUMPRODUCT(('Group Stage'!$F$4:$F$75="Jordan")*('Group Stage'!$H$4:$H$75&lt;&gt;"")*('Group Stage'!$I$4:$I$75&gt;'Group Stage'!$H$4:$H$75))</f>
        <v>0</v>
      </c>
      <c r="E72" s="18">
        <f>SUMPRODUCT((('Group Stage'!$E$4:$E$75="Jordan")+('Group Stage'!$F$4:$F$75="Jordan"))*('Group Stage'!$H$4:$H$75&lt;&gt;"")*('Group Stage'!$H$4:$H$75='Group Stage'!$I$4:$I$75))</f>
        <v>0</v>
      </c>
      <c r="F72" s="18">
        <f t="shared" si="38"/>
        <v>1</v>
      </c>
      <c r="G72" s="18">
        <f>SUMIFS('Group Stage'!$H$4:$H$75,'Group Stage'!$E$4:$E$75,"Jordan")+SUMIFS('Group Stage'!$I$4:$I$75,'Group Stage'!$F$4:$F$75,"Jordan")</f>
        <v>1</v>
      </c>
      <c r="H72" s="18">
        <f>SUMIFS('Group Stage'!$I$4:$I$75,'Group Stage'!$E$4:$E$75,"Jordan")+SUMIFS('Group Stage'!$H$4:$H$75,'Group Stage'!$F$4:$F$75,"Jordan")</f>
        <v>3</v>
      </c>
      <c r="I72" s="18">
        <f t="shared" si="39"/>
        <v>-2</v>
      </c>
      <c r="J72" s="18">
        <f t="shared" si="40"/>
        <v>0</v>
      </c>
    </row>
    <row r="73" ht="15.75" customHeight="1"/>
    <row r="74" ht="15.75" customHeight="1">
      <c r="A74" s="14" t="s">
        <v>111</v>
      </c>
      <c r="B74" s="15"/>
      <c r="C74" s="15"/>
      <c r="D74" s="15"/>
      <c r="E74" s="15"/>
      <c r="F74" s="15"/>
      <c r="G74" s="15"/>
      <c r="H74" s="15"/>
      <c r="I74" s="15"/>
      <c r="J74" s="16"/>
    </row>
    <row r="75" ht="15.75" customHeight="1">
      <c r="A75" s="17" t="s">
        <v>52</v>
      </c>
      <c r="B75" s="17" t="s">
        <v>53</v>
      </c>
      <c r="C75" s="17" t="s">
        <v>54</v>
      </c>
      <c r="D75" s="17" t="s">
        <v>55</v>
      </c>
      <c r="E75" s="17" t="s">
        <v>56</v>
      </c>
      <c r="F75" s="17" t="s">
        <v>57</v>
      </c>
      <c r="G75" s="17" t="s">
        <v>58</v>
      </c>
      <c r="H75" s="17" t="s">
        <v>59</v>
      </c>
      <c r="I75" s="17" t="s">
        <v>60</v>
      </c>
      <c r="J75" s="17" t="s">
        <v>61</v>
      </c>
    </row>
    <row r="76" ht="15.75" customHeight="1">
      <c r="A76" s="18">
        <f t="shared" ref="A76:A79" si="41">IF(SUM($C$76:$C$79)=0,"-",SUMPRODUCT(--(($J$76:$J$79*1000+$I$76:$I$79*10+$G$76:$G$79)&gt;(J76*1000+I76*10+G76)))+1)</f>
        <v>2</v>
      </c>
      <c r="B76" s="19" t="s">
        <v>112</v>
      </c>
      <c r="C76" s="18">
        <f>COUNTIFS('Group Stage'!$E$4:$E$75,"Portugal",'Group Stage'!$H$4:$H$75,"&lt;&gt;")+COUNTIFS('Group Stage'!$F$4:$F$75,"Portugal",'Group Stage'!$H$4:$H$75,"&lt;&gt;")</f>
        <v>1</v>
      </c>
      <c r="D76" s="18">
        <f>SUMPRODUCT(('Group Stage'!$E$4:$E$75="Portugal")*('Group Stage'!$H$4:$H$75&lt;&gt;"")*('Group Stage'!$H$4:$H$75&gt;'Group Stage'!$I$4:$I$75))+SUMPRODUCT(('Group Stage'!$F$4:$F$75="Portugal")*('Group Stage'!$H$4:$H$75&lt;&gt;"")*('Group Stage'!$I$4:$I$75&gt;'Group Stage'!$H$4:$H$75))</f>
        <v>0</v>
      </c>
      <c r="E76" s="18">
        <f>SUMPRODUCT((('Group Stage'!$E$4:$E$75="Portugal")+('Group Stage'!$F$4:$F$75="Portugal"))*('Group Stage'!$H$4:$H$75&lt;&gt;"")*('Group Stage'!$H$4:$H$75='Group Stage'!$I$4:$I$75))</f>
        <v>1</v>
      </c>
      <c r="F76" s="18">
        <f t="shared" ref="F76:F79" si="42">C76-D76-E76</f>
        <v>0</v>
      </c>
      <c r="G76" s="18">
        <f>SUMIFS('Group Stage'!$H$4:$H$75,'Group Stage'!$E$4:$E$75,"Portugal")+SUMIFS('Group Stage'!$I$4:$I$75,'Group Stage'!$F$4:$F$75,"Portugal")</f>
        <v>1</v>
      </c>
      <c r="H76" s="18">
        <f>SUMIFS('Group Stage'!$I$4:$I$75,'Group Stage'!$E$4:$E$75,"Portugal")+SUMIFS('Group Stage'!$H$4:$H$75,'Group Stage'!$F$4:$F$75,"Portugal")</f>
        <v>1</v>
      </c>
      <c r="I76" s="18">
        <f t="shared" ref="I76:I79" si="43">G76-H76</f>
        <v>0</v>
      </c>
      <c r="J76" s="18">
        <f t="shared" ref="J76:J79" si="44">3*D76+E76</f>
        <v>1</v>
      </c>
    </row>
    <row r="77" ht="15.75" customHeight="1">
      <c r="A77" s="18">
        <f t="shared" si="41"/>
        <v>2</v>
      </c>
      <c r="B77" s="19" t="s">
        <v>113</v>
      </c>
      <c r="C77" s="18">
        <f>COUNTIFS('Group Stage'!$E$4:$E$75,"DR Congo",'Group Stage'!$H$4:$H$75,"&lt;&gt;")+COUNTIFS('Group Stage'!$F$4:$F$75,"DR Congo",'Group Stage'!$H$4:$H$75,"&lt;&gt;")</f>
        <v>1</v>
      </c>
      <c r="D77" s="18">
        <f>SUMPRODUCT(('Group Stage'!$E$4:$E$75="DR Congo")*('Group Stage'!$H$4:$H$75&lt;&gt;"")*('Group Stage'!$H$4:$H$75&gt;'Group Stage'!$I$4:$I$75))+SUMPRODUCT(('Group Stage'!$F$4:$F$75="DR Congo")*('Group Stage'!$H$4:$H$75&lt;&gt;"")*('Group Stage'!$I$4:$I$75&gt;'Group Stage'!$H$4:$H$75))</f>
        <v>0</v>
      </c>
      <c r="E77" s="18">
        <f>SUMPRODUCT((('Group Stage'!$E$4:$E$75="DR Congo")+('Group Stage'!$F$4:$F$75="DR Congo"))*('Group Stage'!$H$4:$H$75&lt;&gt;"")*('Group Stage'!$H$4:$H$75='Group Stage'!$I$4:$I$75))</f>
        <v>1</v>
      </c>
      <c r="F77" s="18">
        <f t="shared" si="42"/>
        <v>0</v>
      </c>
      <c r="G77" s="18">
        <f>SUMIFS('Group Stage'!$H$4:$H$75,'Group Stage'!$E$4:$E$75,"DR Congo")+SUMIFS('Group Stage'!$I$4:$I$75,'Group Stage'!$F$4:$F$75,"DR Congo")</f>
        <v>1</v>
      </c>
      <c r="H77" s="18">
        <f>SUMIFS('Group Stage'!$I$4:$I$75,'Group Stage'!$E$4:$E$75,"DR Congo")+SUMIFS('Group Stage'!$H$4:$H$75,'Group Stage'!$F$4:$F$75,"DR Congo")</f>
        <v>1</v>
      </c>
      <c r="I77" s="18">
        <f t="shared" si="43"/>
        <v>0</v>
      </c>
      <c r="J77" s="18">
        <f t="shared" si="44"/>
        <v>1</v>
      </c>
    </row>
    <row r="78" ht="15.75" customHeight="1">
      <c r="A78" s="18">
        <f t="shared" si="41"/>
        <v>4</v>
      </c>
      <c r="B78" s="19" t="s">
        <v>114</v>
      </c>
      <c r="C78" s="18">
        <f>COUNTIFS('Group Stage'!$E$4:$E$75,"Uzbekistan",'Group Stage'!$H$4:$H$75,"&lt;&gt;")+COUNTIFS('Group Stage'!$F$4:$F$75,"Uzbekistan",'Group Stage'!$H$4:$H$75,"&lt;&gt;")</f>
        <v>1</v>
      </c>
      <c r="D78" s="18">
        <f>SUMPRODUCT(('Group Stage'!$E$4:$E$75="Uzbekistan")*('Group Stage'!$H$4:$H$75&lt;&gt;"")*('Group Stage'!$H$4:$H$75&gt;'Group Stage'!$I$4:$I$75))+SUMPRODUCT(('Group Stage'!$F$4:$F$75="Uzbekistan")*('Group Stage'!$H$4:$H$75&lt;&gt;"")*('Group Stage'!$I$4:$I$75&gt;'Group Stage'!$H$4:$H$75))</f>
        <v>0</v>
      </c>
      <c r="E78" s="18">
        <f>SUMPRODUCT((('Group Stage'!$E$4:$E$75="Uzbekistan")+('Group Stage'!$F$4:$F$75="Uzbekistan"))*('Group Stage'!$H$4:$H$75&lt;&gt;"")*('Group Stage'!$H$4:$H$75='Group Stage'!$I$4:$I$75))</f>
        <v>0</v>
      </c>
      <c r="F78" s="18">
        <f t="shared" si="42"/>
        <v>1</v>
      </c>
      <c r="G78" s="18">
        <f>SUMIFS('Group Stage'!$H$4:$H$75,'Group Stage'!$E$4:$E$75,"Uzbekistan")+SUMIFS('Group Stage'!$I$4:$I$75,'Group Stage'!$F$4:$F$75,"Uzbekistan")</f>
        <v>1</v>
      </c>
      <c r="H78" s="18">
        <f>SUMIFS('Group Stage'!$I$4:$I$75,'Group Stage'!$E$4:$E$75,"Uzbekistan")+SUMIFS('Group Stage'!$H$4:$H$75,'Group Stage'!$F$4:$F$75,"Uzbekistan")</f>
        <v>3</v>
      </c>
      <c r="I78" s="18">
        <f t="shared" si="43"/>
        <v>-2</v>
      </c>
      <c r="J78" s="18">
        <f t="shared" si="44"/>
        <v>0</v>
      </c>
    </row>
    <row r="79" ht="15.75" customHeight="1">
      <c r="A79" s="18">
        <f t="shared" si="41"/>
        <v>1</v>
      </c>
      <c r="B79" s="19" t="s">
        <v>115</v>
      </c>
      <c r="C79" s="18">
        <f>COUNTIFS('Group Stage'!$E$4:$E$75,"Colombia",'Group Stage'!$H$4:$H$75,"&lt;&gt;")+COUNTIFS('Group Stage'!$F$4:$F$75,"Colombia",'Group Stage'!$H$4:$H$75,"&lt;&gt;")</f>
        <v>1</v>
      </c>
      <c r="D79" s="18">
        <f>SUMPRODUCT(('Group Stage'!$E$4:$E$75="Colombia")*('Group Stage'!$H$4:$H$75&lt;&gt;"")*('Group Stage'!$H$4:$H$75&gt;'Group Stage'!$I$4:$I$75))+SUMPRODUCT(('Group Stage'!$F$4:$F$75="Colombia")*('Group Stage'!$H$4:$H$75&lt;&gt;"")*('Group Stage'!$I$4:$I$75&gt;'Group Stage'!$H$4:$H$75))</f>
        <v>1</v>
      </c>
      <c r="E79" s="18">
        <f>SUMPRODUCT((('Group Stage'!$E$4:$E$75="Colombia")+('Group Stage'!$F$4:$F$75="Colombia"))*('Group Stage'!$H$4:$H$75&lt;&gt;"")*('Group Stage'!$H$4:$H$75='Group Stage'!$I$4:$I$75))</f>
        <v>0</v>
      </c>
      <c r="F79" s="18">
        <f t="shared" si="42"/>
        <v>0</v>
      </c>
      <c r="G79" s="18">
        <f>SUMIFS('Group Stage'!$H$4:$H$75,'Group Stage'!$E$4:$E$75,"Colombia")+SUMIFS('Group Stage'!$I$4:$I$75,'Group Stage'!$F$4:$F$75,"Colombia")</f>
        <v>3</v>
      </c>
      <c r="H79" s="18">
        <f>SUMIFS('Group Stage'!$I$4:$I$75,'Group Stage'!$E$4:$E$75,"Colombia")+SUMIFS('Group Stage'!$H$4:$H$75,'Group Stage'!$F$4:$F$75,"Colombia")</f>
        <v>1</v>
      </c>
      <c r="I79" s="18">
        <f t="shared" si="43"/>
        <v>2</v>
      </c>
      <c r="J79" s="18">
        <f t="shared" si="44"/>
        <v>3</v>
      </c>
    </row>
    <row r="80" ht="15.75" customHeight="1"/>
    <row r="81" ht="15.75" customHeight="1">
      <c r="A81" s="14" t="s">
        <v>116</v>
      </c>
      <c r="B81" s="15"/>
      <c r="C81" s="15"/>
      <c r="D81" s="15"/>
      <c r="E81" s="15"/>
      <c r="F81" s="15"/>
      <c r="G81" s="15"/>
      <c r="H81" s="15"/>
      <c r="I81" s="15"/>
      <c r="J81" s="16"/>
    </row>
    <row r="82" ht="15.75" customHeight="1">
      <c r="A82" s="17" t="s">
        <v>52</v>
      </c>
      <c r="B82" s="17" t="s">
        <v>53</v>
      </c>
      <c r="C82" s="17" t="s">
        <v>54</v>
      </c>
      <c r="D82" s="17" t="s">
        <v>55</v>
      </c>
      <c r="E82" s="17" t="s">
        <v>56</v>
      </c>
      <c r="F82" s="17" t="s">
        <v>57</v>
      </c>
      <c r="G82" s="17" t="s">
        <v>58</v>
      </c>
      <c r="H82" s="17" t="s">
        <v>59</v>
      </c>
      <c r="I82" s="17" t="s">
        <v>60</v>
      </c>
      <c r="J82" s="17" t="s">
        <v>61</v>
      </c>
    </row>
    <row r="83" ht="15.75" customHeight="1">
      <c r="A83" s="18">
        <f t="shared" ref="A83:A86" si="45">IF(SUM($C$83:$C$86)=0,"-",SUMPRODUCT(--(($J$83:$J$86*1000+$I$83:$I$86*10+$G$83:$G$86)&gt;(J83*1000+I83*10+G83)))+1)</f>
        <v>1</v>
      </c>
      <c r="B83" s="19" t="s">
        <v>117</v>
      </c>
      <c r="C83" s="18">
        <f>COUNTIFS('Group Stage'!$E$4:$E$75,"England",'Group Stage'!$H$4:$H$75,"&lt;&gt;")+COUNTIFS('Group Stage'!$F$4:$F$75,"England",'Group Stage'!$H$4:$H$75,"&lt;&gt;")</f>
        <v>1</v>
      </c>
      <c r="D83" s="18">
        <f>SUMPRODUCT(('Group Stage'!$E$4:$E$75="England")*('Group Stage'!$H$4:$H$75&lt;&gt;"")*('Group Stage'!$H$4:$H$75&gt;'Group Stage'!$I$4:$I$75))+SUMPRODUCT(('Group Stage'!$F$4:$F$75="England")*('Group Stage'!$H$4:$H$75&lt;&gt;"")*('Group Stage'!$I$4:$I$75&gt;'Group Stage'!$H$4:$H$75))</f>
        <v>1</v>
      </c>
      <c r="E83" s="18">
        <f>SUMPRODUCT((('Group Stage'!$E$4:$E$75="England")+('Group Stage'!$F$4:$F$75="England"))*('Group Stage'!$H$4:$H$75&lt;&gt;"")*('Group Stage'!$H$4:$H$75='Group Stage'!$I$4:$I$75))</f>
        <v>0</v>
      </c>
      <c r="F83" s="18">
        <f t="shared" ref="F83:F86" si="46">C83-D83-E83</f>
        <v>0</v>
      </c>
      <c r="G83" s="18">
        <f>SUMIFS('Group Stage'!$H$4:$H$75,'Group Stage'!$E$4:$E$75,"England")+SUMIFS('Group Stage'!$I$4:$I$75,'Group Stage'!$F$4:$F$75,"England")</f>
        <v>4</v>
      </c>
      <c r="H83" s="18">
        <f>SUMIFS('Group Stage'!$I$4:$I$75,'Group Stage'!$E$4:$E$75,"England")+SUMIFS('Group Stage'!$H$4:$H$75,'Group Stage'!$F$4:$F$75,"England")</f>
        <v>2</v>
      </c>
      <c r="I83" s="18">
        <f t="shared" ref="I83:I86" si="47">G83-H83</f>
        <v>2</v>
      </c>
      <c r="J83" s="18">
        <f t="shared" ref="J83:J86" si="48">3*D83+E83</f>
        <v>3</v>
      </c>
    </row>
    <row r="84" ht="15.75" customHeight="1">
      <c r="A84" s="18">
        <f t="shared" si="45"/>
        <v>4</v>
      </c>
      <c r="B84" s="19" t="s">
        <v>118</v>
      </c>
      <c r="C84" s="18">
        <f>COUNTIFS('Group Stage'!$E$4:$E$75,"Croatia",'Group Stage'!$H$4:$H$75,"&lt;&gt;")+COUNTIFS('Group Stage'!$F$4:$F$75,"Croatia",'Group Stage'!$H$4:$H$75,"&lt;&gt;")</f>
        <v>1</v>
      </c>
      <c r="D84" s="18">
        <f>SUMPRODUCT(('Group Stage'!$E$4:$E$75="Croatia")*('Group Stage'!$H$4:$H$75&lt;&gt;"")*('Group Stage'!$H$4:$H$75&gt;'Group Stage'!$I$4:$I$75))+SUMPRODUCT(('Group Stage'!$F$4:$F$75="Croatia")*('Group Stage'!$H$4:$H$75&lt;&gt;"")*('Group Stage'!$I$4:$I$75&gt;'Group Stage'!$H$4:$H$75))</f>
        <v>0</v>
      </c>
      <c r="E84" s="18">
        <f>SUMPRODUCT((('Group Stage'!$E$4:$E$75="Croatia")+('Group Stage'!$F$4:$F$75="Croatia"))*('Group Stage'!$H$4:$H$75&lt;&gt;"")*('Group Stage'!$H$4:$H$75='Group Stage'!$I$4:$I$75))</f>
        <v>0</v>
      </c>
      <c r="F84" s="18">
        <f t="shared" si="46"/>
        <v>1</v>
      </c>
      <c r="G84" s="18">
        <f>SUMIFS('Group Stage'!$H$4:$H$75,'Group Stage'!$E$4:$E$75,"Croatia")+SUMIFS('Group Stage'!$I$4:$I$75,'Group Stage'!$F$4:$F$75,"Croatia")</f>
        <v>2</v>
      </c>
      <c r="H84" s="18">
        <f>SUMIFS('Group Stage'!$I$4:$I$75,'Group Stage'!$E$4:$E$75,"Croatia")+SUMIFS('Group Stage'!$H$4:$H$75,'Group Stage'!$F$4:$F$75,"Croatia")</f>
        <v>4</v>
      </c>
      <c r="I84" s="18">
        <f t="shared" si="47"/>
        <v>-2</v>
      </c>
      <c r="J84" s="18">
        <f t="shared" si="48"/>
        <v>0</v>
      </c>
    </row>
    <row r="85" ht="15.75" customHeight="1">
      <c r="A85" s="18">
        <f t="shared" si="45"/>
        <v>3</v>
      </c>
      <c r="B85" s="19" t="s">
        <v>119</v>
      </c>
      <c r="C85" s="18">
        <f>COUNTIFS('Group Stage'!$E$4:$E$75,"Panama",'Group Stage'!$H$4:$H$75,"&lt;&gt;")+COUNTIFS('Group Stage'!$F$4:$F$75,"Panama",'Group Stage'!$H$4:$H$75,"&lt;&gt;")</f>
        <v>1</v>
      </c>
      <c r="D85" s="18">
        <f>SUMPRODUCT(('Group Stage'!$E$4:$E$75="Panama")*('Group Stage'!$H$4:$H$75&lt;&gt;"")*('Group Stage'!$H$4:$H$75&gt;'Group Stage'!$I$4:$I$75))+SUMPRODUCT(('Group Stage'!$F$4:$F$75="Panama")*('Group Stage'!$H$4:$H$75&lt;&gt;"")*('Group Stage'!$I$4:$I$75&gt;'Group Stage'!$H$4:$H$75))</f>
        <v>0</v>
      </c>
      <c r="E85" s="18">
        <f>SUMPRODUCT((('Group Stage'!$E$4:$E$75="Panama")+('Group Stage'!$F$4:$F$75="Panama"))*('Group Stage'!$H$4:$H$75&lt;&gt;"")*('Group Stage'!$H$4:$H$75='Group Stage'!$I$4:$I$75))</f>
        <v>0</v>
      </c>
      <c r="F85" s="18">
        <f t="shared" si="46"/>
        <v>1</v>
      </c>
      <c r="G85" s="18">
        <f>SUMIFS('Group Stage'!$H$4:$H$75,'Group Stage'!$E$4:$E$75,"Panama")+SUMIFS('Group Stage'!$I$4:$I$75,'Group Stage'!$F$4:$F$75,"Panama")</f>
        <v>0</v>
      </c>
      <c r="H85" s="18">
        <f>SUMIFS('Group Stage'!$I$4:$I$75,'Group Stage'!$E$4:$E$75,"Panama")+SUMIFS('Group Stage'!$H$4:$H$75,'Group Stage'!$F$4:$F$75,"Panama")</f>
        <v>1</v>
      </c>
      <c r="I85" s="18">
        <f t="shared" si="47"/>
        <v>-1</v>
      </c>
      <c r="J85" s="18">
        <f t="shared" si="48"/>
        <v>0</v>
      </c>
    </row>
    <row r="86" ht="15.75" customHeight="1">
      <c r="A86" s="18">
        <f t="shared" si="45"/>
        <v>2</v>
      </c>
      <c r="B86" s="19" t="s">
        <v>120</v>
      </c>
      <c r="C86" s="18">
        <f>COUNTIFS('Group Stage'!$E$4:$E$75,"Ghana",'Group Stage'!$H$4:$H$75,"&lt;&gt;")+COUNTIFS('Group Stage'!$F$4:$F$75,"Ghana",'Group Stage'!$H$4:$H$75,"&lt;&gt;")</f>
        <v>1</v>
      </c>
      <c r="D86" s="18">
        <f>SUMPRODUCT(('Group Stage'!$E$4:$E$75="Ghana")*('Group Stage'!$H$4:$H$75&lt;&gt;"")*('Group Stage'!$H$4:$H$75&gt;'Group Stage'!$I$4:$I$75))+SUMPRODUCT(('Group Stage'!$F$4:$F$75="Ghana")*('Group Stage'!$H$4:$H$75&lt;&gt;"")*('Group Stage'!$I$4:$I$75&gt;'Group Stage'!$H$4:$H$75))</f>
        <v>1</v>
      </c>
      <c r="E86" s="18">
        <f>SUMPRODUCT((('Group Stage'!$E$4:$E$75="Ghana")+('Group Stage'!$F$4:$F$75="Ghana"))*('Group Stage'!$H$4:$H$75&lt;&gt;"")*('Group Stage'!$H$4:$H$75='Group Stage'!$I$4:$I$75))</f>
        <v>0</v>
      </c>
      <c r="F86" s="18">
        <f t="shared" si="46"/>
        <v>0</v>
      </c>
      <c r="G86" s="18">
        <f>SUMIFS('Group Stage'!$H$4:$H$75,'Group Stage'!$E$4:$E$75,"Ghana")+SUMIFS('Group Stage'!$I$4:$I$75,'Group Stage'!$F$4:$F$75,"Ghana")</f>
        <v>1</v>
      </c>
      <c r="H86" s="18">
        <f>SUMIFS('Group Stage'!$I$4:$I$75,'Group Stage'!$E$4:$E$75,"Ghana")+SUMIFS('Group Stage'!$H$4:$H$75,'Group Stage'!$F$4:$F$75,"Ghana")</f>
        <v>0</v>
      </c>
      <c r="I86" s="18">
        <f t="shared" si="47"/>
        <v>1</v>
      </c>
      <c r="J86" s="18">
        <f t="shared" si="48"/>
        <v>3</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39:J39"/>
    <mergeCell ref="A46:J46"/>
    <mergeCell ref="A53:J53"/>
    <mergeCell ref="A60:J60"/>
    <mergeCell ref="A67:J67"/>
    <mergeCell ref="A74:J74"/>
    <mergeCell ref="A81:J81"/>
    <mergeCell ref="A1:J1"/>
    <mergeCell ref="A2:J2"/>
    <mergeCell ref="A4:J4"/>
    <mergeCell ref="A11:J11"/>
    <mergeCell ref="A18:J18"/>
    <mergeCell ref="A25:J25"/>
    <mergeCell ref="A32:J32"/>
  </mergeCells>
  <conditionalFormatting sqref="A6:A9 B6:J6">
    <cfRule type="expression" dxfId="0" priority="1">
      <formula>OR($A6=1,$A6=2)</formula>
    </cfRule>
  </conditionalFormatting>
  <conditionalFormatting sqref="A6:A9 B6:J6">
    <cfRule type="expression" dxfId="1" priority="2">
      <formula>$A6=3</formula>
    </cfRule>
  </conditionalFormatting>
  <conditionalFormatting sqref="A7:J7">
    <cfRule type="expression" dxfId="0" priority="3">
      <formula>OR($A7=1,$A7=2)</formula>
    </cfRule>
  </conditionalFormatting>
  <conditionalFormatting sqref="A7:J7">
    <cfRule type="expression" dxfId="1" priority="4">
      <formula>$A7=3</formula>
    </cfRule>
  </conditionalFormatting>
  <conditionalFormatting sqref="A8:J8">
    <cfRule type="expression" dxfId="0" priority="5">
      <formula>OR($A8=1,$A8=2)</formula>
    </cfRule>
  </conditionalFormatting>
  <conditionalFormatting sqref="A8:J8">
    <cfRule type="expression" dxfId="1" priority="6">
      <formula>$A8=3</formula>
    </cfRule>
  </conditionalFormatting>
  <conditionalFormatting sqref="A9:J9">
    <cfRule type="expression" dxfId="0" priority="7">
      <formula>OR($A9=1,$A9=2)</formula>
    </cfRule>
  </conditionalFormatting>
  <conditionalFormatting sqref="A9:J9">
    <cfRule type="expression" dxfId="1" priority="8">
      <formula>$A9=3</formula>
    </cfRule>
  </conditionalFormatting>
  <conditionalFormatting sqref="A13:A16 B13:J13">
    <cfRule type="expression" dxfId="0" priority="9">
      <formula>OR($A13=1,$A13=2)</formula>
    </cfRule>
  </conditionalFormatting>
  <conditionalFormatting sqref="A13:A16 B13:J13">
    <cfRule type="expression" dxfId="1" priority="10">
      <formula>$A13=3</formula>
    </cfRule>
  </conditionalFormatting>
  <conditionalFormatting sqref="A14:J14">
    <cfRule type="expression" dxfId="0" priority="11">
      <formula>OR($A14=1,$A14=2)</formula>
    </cfRule>
  </conditionalFormatting>
  <conditionalFormatting sqref="A14:J14">
    <cfRule type="expression" dxfId="1" priority="12">
      <formula>$A14=3</formula>
    </cfRule>
  </conditionalFormatting>
  <conditionalFormatting sqref="A15:J15">
    <cfRule type="expression" dxfId="0" priority="13">
      <formula>OR($A15=1,$A15=2)</formula>
    </cfRule>
  </conditionalFormatting>
  <conditionalFormatting sqref="A15:J15">
    <cfRule type="expression" dxfId="1" priority="14">
      <formula>$A15=3</formula>
    </cfRule>
  </conditionalFormatting>
  <conditionalFormatting sqref="A16:J16">
    <cfRule type="expression" dxfId="0" priority="15">
      <formula>OR($A16=1,$A16=2)</formula>
    </cfRule>
  </conditionalFormatting>
  <conditionalFormatting sqref="A16:J16">
    <cfRule type="expression" dxfId="1" priority="16">
      <formula>$A16=3</formula>
    </cfRule>
  </conditionalFormatting>
  <conditionalFormatting sqref="A20:A23 B20:J20">
    <cfRule type="expression" dxfId="0" priority="17">
      <formula>OR($A20=1,$A20=2)</formula>
    </cfRule>
  </conditionalFormatting>
  <conditionalFormatting sqref="A20:A23 B20:J20">
    <cfRule type="expression" dxfId="1" priority="18">
      <formula>$A20=3</formula>
    </cfRule>
  </conditionalFormatting>
  <conditionalFormatting sqref="A21:J21">
    <cfRule type="expression" dxfId="0" priority="19">
      <formula>OR($A21=1,$A21=2)</formula>
    </cfRule>
  </conditionalFormatting>
  <conditionalFormatting sqref="A21:J21">
    <cfRule type="expression" dxfId="1" priority="20">
      <formula>$A21=3</formula>
    </cfRule>
  </conditionalFormatting>
  <conditionalFormatting sqref="A22:J22">
    <cfRule type="expression" dxfId="0" priority="21">
      <formula>OR($A22=1,$A22=2)</formula>
    </cfRule>
  </conditionalFormatting>
  <conditionalFormatting sqref="A22:J22">
    <cfRule type="expression" dxfId="1" priority="22">
      <formula>$A22=3</formula>
    </cfRule>
  </conditionalFormatting>
  <conditionalFormatting sqref="A23:J23">
    <cfRule type="expression" dxfId="0" priority="23">
      <formula>OR($A23=1,$A23=2)</formula>
    </cfRule>
  </conditionalFormatting>
  <conditionalFormatting sqref="A23:J23">
    <cfRule type="expression" dxfId="1" priority="24">
      <formula>$A23=3</formula>
    </cfRule>
  </conditionalFormatting>
  <conditionalFormatting sqref="A27:A30 B27:J27">
    <cfRule type="expression" dxfId="0" priority="25">
      <formula>OR($A27=1,$A27=2)</formula>
    </cfRule>
  </conditionalFormatting>
  <conditionalFormatting sqref="A27:A30 B27:J27">
    <cfRule type="expression" dxfId="1" priority="26">
      <formula>$A27=3</formula>
    </cfRule>
  </conditionalFormatting>
  <conditionalFormatting sqref="A28:J28">
    <cfRule type="expression" dxfId="0" priority="27">
      <formula>OR($A28=1,$A28=2)</formula>
    </cfRule>
  </conditionalFormatting>
  <conditionalFormatting sqref="A28:J28">
    <cfRule type="expression" dxfId="1" priority="28">
      <formula>$A28=3</formula>
    </cfRule>
  </conditionalFormatting>
  <conditionalFormatting sqref="A29:J29">
    <cfRule type="expression" dxfId="0" priority="29">
      <formula>OR($A29=1,$A29=2)</formula>
    </cfRule>
  </conditionalFormatting>
  <conditionalFormatting sqref="A29:J29">
    <cfRule type="expression" dxfId="1" priority="30">
      <formula>$A29=3</formula>
    </cfRule>
  </conditionalFormatting>
  <conditionalFormatting sqref="A30:J30">
    <cfRule type="expression" dxfId="0" priority="31">
      <formula>OR($A30=1,$A30=2)</formula>
    </cfRule>
  </conditionalFormatting>
  <conditionalFormatting sqref="A30:J30">
    <cfRule type="expression" dxfId="1" priority="32">
      <formula>$A30=3</formula>
    </cfRule>
  </conditionalFormatting>
  <conditionalFormatting sqref="A34:A37 B34:J34">
    <cfRule type="expression" dxfId="0" priority="33">
      <formula>OR($A34=1,$A34=2)</formula>
    </cfRule>
  </conditionalFormatting>
  <conditionalFormatting sqref="A34:A37 B34:J34">
    <cfRule type="expression" dxfId="1" priority="34">
      <formula>$A34=3</formula>
    </cfRule>
  </conditionalFormatting>
  <conditionalFormatting sqref="A35:J35">
    <cfRule type="expression" dxfId="0" priority="35">
      <formula>OR($A35=1,$A35=2)</formula>
    </cfRule>
  </conditionalFormatting>
  <conditionalFormatting sqref="A35:J35">
    <cfRule type="expression" dxfId="1" priority="36">
      <formula>$A35=3</formula>
    </cfRule>
  </conditionalFormatting>
  <conditionalFormatting sqref="A36:J36">
    <cfRule type="expression" dxfId="0" priority="37">
      <formula>OR($A36=1,$A36=2)</formula>
    </cfRule>
  </conditionalFormatting>
  <conditionalFormatting sqref="A36:J36">
    <cfRule type="expression" dxfId="1" priority="38">
      <formula>$A36=3</formula>
    </cfRule>
  </conditionalFormatting>
  <conditionalFormatting sqref="A37:J37">
    <cfRule type="expression" dxfId="0" priority="39">
      <formula>OR($A37=1,$A37=2)</formula>
    </cfRule>
  </conditionalFormatting>
  <conditionalFormatting sqref="A37:J37">
    <cfRule type="expression" dxfId="1" priority="40">
      <formula>$A37=3</formula>
    </cfRule>
  </conditionalFormatting>
  <conditionalFormatting sqref="A41:A44 B41:J41">
    <cfRule type="expression" dxfId="0" priority="41">
      <formula>OR($A41=1,$A41=2)</formula>
    </cfRule>
  </conditionalFormatting>
  <conditionalFormatting sqref="A41:A44 B41:J41">
    <cfRule type="expression" dxfId="1" priority="42">
      <formula>$A41=3</formula>
    </cfRule>
  </conditionalFormatting>
  <conditionalFormatting sqref="A42:J42">
    <cfRule type="expression" dxfId="0" priority="43">
      <formula>OR($A42=1,$A42=2)</formula>
    </cfRule>
  </conditionalFormatting>
  <conditionalFormatting sqref="A42:J42">
    <cfRule type="expression" dxfId="1" priority="44">
      <formula>$A42=3</formula>
    </cfRule>
  </conditionalFormatting>
  <conditionalFormatting sqref="A43:J43">
    <cfRule type="expression" dxfId="0" priority="45">
      <formula>OR($A43=1,$A43=2)</formula>
    </cfRule>
  </conditionalFormatting>
  <conditionalFormatting sqref="A43:J43">
    <cfRule type="expression" dxfId="1" priority="46">
      <formula>$A43=3</formula>
    </cfRule>
  </conditionalFormatting>
  <conditionalFormatting sqref="A44:J44">
    <cfRule type="expression" dxfId="0" priority="47">
      <formula>OR($A44=1,$A44=2)</formula>
    </cfRule>
  </conditionalFormatting>
  <conditionalFormatting sqref="A44:J44">
    <cfRule type="expression" dxfId="1" priority="48">
      <formula>$A44=3</formula>
    </cfRule>
  </conditionalFormatting>
  <conditionalFormatting sqref="A48:A51 B48:J48">
    <cfRule type="expression" dxfId="0" priority="49">
      <formula>OR($A48=1,$A48=2)</formula>
    </cfRule>
  </conditionalFormatting>
  <conditionalFormatting sqref="A48:A51 B48:J48">
    <cfRule type="expression" dxfId="1" priority="50">
      <formula>$A48=3</formula>
    </cfRule>
  </conditionalFormatting>
  <conditionalFormatting sqref="A49:J49">
    <cfRule type="expression" dxfId="0" priority="51">
      <formula>OR($A49=1,$A49=2)</formula>
    </cfRule>
  </conditionalFormatting>
  <conditionalFormatting sqref="A49:J49">
    <cfRule type="expression" dxfId="1" priority="52">
      <formula>$A49=3</formula>
    </cfRule>
  </conditionalFormatting>
  <conditionalFormatting sqref="A50:J50">
    <cfRule type="expression" dxfId="0" priority="53">
      <formula>OR($A50=1,$A50=2)</formula>
    </cfRule>
  </conditionalFormatting>
  <conditionalFormatting sqref="A50:J50">
    <cfRule type="expression" dxfId="1" priority="54">
      <formula>$A50=3</formula>
    </cfRule>
  </conditionalFormatting>
  <conditionalFormatting sqref="A51:J51">
    <cfRule type="expression" dxfId="0" priority="55">
      <formula>OR($A51=1,$A51=2)</formula>
    </cfRule>
  </conditionalFormatting>
  <conditionalFormatting sqref="A51:J51">
    <cfRule type="expression" dxfId="1" priority="56">
      <formula>$A51=3</formula>
    </cfRule>
  </conditionalFormatting>
  <conditionalFormatting sqref="A55:A58 B55:J55">
    <cfRule type="expression" dxfId="0" priority="57">
      <formula>OR($A55=1,$A55=2)</formula>
    </cfRule>
  </conditionalFormatting>
  <conditionalFormatting sqref="A55:A58 B55:J55">
    <cfRule type="expression" dxfId="1" priority="58">
      <formula>$A55=3</formula>
    </cfRule>
  </conditionalFormatting>
  <conditionalFormatting sqref="A56:J56">
    <cfRule type="expression" dxfId="0" priority="59">
      <formula>OR($A56=1,$A56=2)</formula>
    </cfRule>
  </conditionalFormatting>
  <conditionalFormatting sqref="A56:J56">
    <cfRule type="expression" dxfId="1" priority="60">
      <formula>$A56=3</formula>
    </cfRule>
  </conditionalFormatting>
  <conditionalFormatting sqref="A57:J57">
    <cfRule type="expression" dxfId="0" priority="61">
      <formula>OR($A57=1,$A57=2)</formula>
    </cfRule>
  </conditionalFormatting>
  <conditionalFormatting sqref="A57:J57">
    <cfRule type="expression" dxfId="1" priority="62">
      <formula>$A57=3</formula>
    </cfRule>
  </conditionalFormatting>
  <conditionalFormatting sqref="A58:J58">
    <cfRule type="expression" dxfId="0" priority="63">
      <formula>OR($A58=1,$A58=2)</formula>
    </cfRule>
  </conditionalFormatting>
  <conditionalFormatting sqref="A58:J58">
    <cfRule type="expression" dxfId="1" priority="64">
      <formula>$A58=3</formula>
    </cfRule>
  </conditionalFormatting>
  <conditionalFormatting sqref="A62:A65 B62:J62">
    <cfRule type="expression" dxfId="0" priority="65">
      <formula>OR($A62=1,$A62=2)</formula>
    </cfRule>
  </conditionalFormatting>
  <conditionalFormatting sqref="A62:A65 B62:J62">
    <cfRule type="expression" dxfId="1" priority="66">
      <formula>$A62=3</formula>
    </cfRule>
  </conditionalFormatting>
  <conditionalFormatting sqref="A63:J63">
    <cfRule type="expression" dxfId="0" priority="67">
      <formula>OR($A63=1,$A63=2)</formula>
    </cfRule>
  </conditionalFormatting>
  <conditionalFormatting sqref="A63:J63">
    <cfRule type="expression" dxfId="1" priority="68">
      <formula>$A63=3</formula>
    </cfRule>
  </conditionalFormatting>
  <conditionalFormatting sqref="A64:J64">
    <cfRule type="expression" dxfId="0" priority="69">
      <formula>OR($A64=1,$A64=2)</formula>
    </cfRule>
  </conditionalFormatting>
  <conditionalFormatting sqref="A64:J64">
    <cfRule type="expression" dxfId="1" priority="70">
      <formula>$A64=3</formula>
    </cfRule>
  </conditionalFormatting>
  <conditionalFormatting sqref="A65:J65">
    <cfRule type="expression" dxfId="0" priority="71">
      <formula>OR($A65=1,$A65=2)</formula>
    </cfRule>
  </conditionalFormatting>
  <conditionalFormatting sqref="A65:J65">
    <cfRule type="expression" dxfId="1" priority="72">
      <formula>$A65=3</formula>
    </cfRule>
  </conditionalFormatting>
  <conditionalFormatting sqref="A69:A72 B69:J69">
    <cfRule type="expression" dxfId="0" priority="73">
      <formula>OR($A69=1,$A69=2)</formula>
    </cfRule>
  </conditionalFormatting>
  <conditionalFormatting sqref="A69:A72 B69:J69">
    <cfRule type="expression" dxfId="1" priority="74">
      <formula>$A69=3</formula>
    </cfRule>
  </conditionalFormatting>
  <conditionalFormatting sqref="A70:J70">
    <cfRule type="expression" dxfId="0" priority="75">
      <formula>OR($A70=1,$A70=2)</formula>
    </cfRule>
  </conditionalFormatting>
  <conditionalFormatting sqref="A70:J70">
    <cfRule type="expression" dxfId="1" priority="76">
      <formula>$A70=3</formula>
    </cfRule>
  </conditionalFormatting>
  <conditionalFormatting sqref="A71:J71">
    <cfRule type="expression" dxfId="0" priority="77">
      <formula>OR($A71=1,$A71=2)</formula>
    </cfRule>
  </conditionalFormatting>
  <conditionalFormatting sqref="A71:J71">
    <cfRule type="expression" dxfId="1" priority="78">
      <formula>$A71=3</formula>
    </cfRule>
  </conditionalFormatting>
  <conditionalFormatting sqref="A72:J72">
    <cfRule type="expression" dxfId="0" priority="79">
      <formula>OR($A72=1,$A72=2)</formula>
    </cfRule>
  </conditionalFormatting>
  <conditionalFormatting sqref="A72:J72">
    <cfRule type="expression" dxfId="1" priority="80">
      <formula>$A72=3</formula>
    </cfRule>
  </conditionalFormatting>
  <conditionalFormatting sqref="A76:A79 B76:J76">
    <cfRule type="expression" dxfId="0" priority="81">
      <formula>OR($A76=1,$A76=2)</formula>
    </cfRule>
  </conditionalFormatting>
  <conditionalFormatting sqref="A76:A79 B76:J76">
    <cfRule type="expression" dxfId="1" priority="82">
      <formula>$A76=3</formula>
    </cfRule>
  </conditionalFormatting>
  <conditionalFormatting sqref="A77:J77">
    <cfRule type="expression" dxfId="0" priority="83">
      <formula>OR($A77=1,$A77=2)</formula>
    </cfRule>
  </conditionalFormatting>
  <conditionalFormatting sqref="A77:J77">
    <cfRule type="expression" dxfId="1" priority="84">
      <formula>$A77=3</formula>
    </cfRule>
  </conditionalFormatting>
  <conditionalFormatting sqref="A78:J78">
    <cfRule type="expression" dxfId="0" priority="85">
      <formula>OR($A78=1,$A78=2)</formula>
    </cfRule>
  </conditionalFormatting>
  <conditionalFormatting sqref="A78:J78">
    <cfRule type="expression" dxfId="1" priority="86">
      <formula>$A78=3</formula>
    </cfRule>
  </conditionalFormatting>
  <conditionalFormatting sqref="A79:J79">
    <cfRule type="expression" dxfId="0" priority="87">
      <formula>OR($A79=1,$A79=2)</formula>
    </cfRule>
  </conditionalFormatting>
  <conditionalFormatting sqref="A79:J79">
    <cfRule type="expression" dxfId="1" priority="88">
      <formula>$A79=3</formula>
    </cfRule>
  </conditionalFormatting>
  <conditionalFormatting sqref="A83:A86 B83:J83">
    <cfRule type="expression" dxfId="0" priority="89">
      <formula>OR($A83=1,$A83=2)</formula>
    </cfRule>
  </conditionalFormatting>
  <conditionalFormatting sqref="A83:A86 B83:J83">
    <cfRule type="expression" dxfId="1" priority="90">
      <formula>$A83=3</formula>
    </cfRule>
  </conditionalFormatting>
  <conditionalFormatting sqref="A84:J84">
    <cfRule type="expression" dxfId="0" priority="91">
      <formula>OR($A84=1,$A84=2)</formula>
    </cfRule>
  </conditionalFormatting>
  <conditionalFormatting sqref="A84:J84">
    <cfRule type="expression" dxfId="1" priority="92">
      <formula>$A84=3</formula>
    </cfRule>
  </conditionalFormatting>
  <conditionalFormatting sqref="A85:J85">
    <cfRule type="expression" dxfId="0" priority="93">
      <formula>OR($A85=1,$A85=2)</formula>
    </cfRule>
  </conditionalFormatting>
  <conditionalFormatting sqref="A85:J85">
    <cfRule type="expression" dxfId="1" priority="94">
      <formula>$A85=3</formula>
    </cfRule>
  </conditionalFormatting>
  <conditionalFormatting sqref="A86:J86">
    <cfRule type="expression" dxfId="0" priority="95">
      <formula>OR($A86=1,$A86=2)</formula>
    </cfRule>
  </conditionalFormatting>
  <conditionalFormatting sqref="A86:J86">
    <cfRule type="expression" dxfId="1" priority="96">
      <formula>$A86=3</formula>
    </cfRule>
  </conditionalFormatting>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4.43" defaultRowHeight="15.0"/>
  <cols>
    <col customWidth="1" min="1" max="1" width="4.0"/>
    <col customWidth="1" min="2" max="2" width="12.0"/>
    <col customWidth="1" min="3" max="3" width="9.0"/>
    <col customWidth="1" min="4" max="4" width="4.0"/>
    <col customWidth="1" min="5" max="6" width="18.0"/>
    <col customWidth="1" min="7" max="7" width="5.0"/>
    <col customWidth="1" min="8" max="9" width="6.0"/>
    <col customWidth="1" min="10" max="11" width="5.0"/>
    <col customWidth="1" min="12" max="12" width="4.0"/>
    <col customWidth="1" min="13" max="13" width="7.0"/>
    <col customWidth="1" min="14" max="15" width="5.0"/>
    <col customWidth="1" min="16" max="16" width="4.0"/>
    <col customWidth="1" min="17" max="17" width="7.0"/>
    <col customWidth="1" min="18" max="19" width="5.0"/>
    <col customWidth="1" min="20" max="20" width="4.0"/>
    <col customWidth="1" min="21" max="21" width="7.0"/>
    <col customWidth="1" min="22" max="22" width="34.0"/>
    <col customWidth="1" min="23" max="23" width="8.71"/>
  </cols>
  <sheetData>
    <row r="1" ht="24.0" customHeight="1">
      <c r="A1" s="20" t="s">
        <v>121</v>
      </c>
      <c r="B1" s="12"/>
      <c r="C1" s="12"/>
      <c r="D1" s="12"/>
      <c r="E1" s="12"/>
      <c r="F1" s="12"/>
      <c r="G1" s="12"/>
      <c r="H1" s="12"/>
      <c r="I1" s="12"/>
      <c r="J1" s="12"/>
      <c r="K1" s="12"/>
      <c r="L1" s="12"/>
      <c r="M1" s="12"/>
      <c r="N1" s="12"/>
      <c r="O1" s="12"/>
      <c r="P1" s="12"/>
      <c r="Q1" s="12"/>
      <c r="R1" s="12"/>
      <c r="S1" s="12"/>
      <c r="T1" s="12"/>
      <c r="U1" s="12"/>
      <c r="V1" s="3"/>
    </row>
    <row r="2" ht="18.0" customHeight="1">
      <c r="A2" s="21" t="s">
        <v>122</v>
      </c>
      <c r="B2" s="15"/>
      <c r="C2" s="15"/>
      <c r="D2" s="15"/>
      <c r="E2" s="15"/>
      <c r="F2" s="15"/>
      <c r="G2" s="16"/>
      <c r="H2" s="22" t="s">
        <v>123</v>
      </c>
      <c r="I2" s="16"/>
      <c r="J2" s="23" t="s">
        <v>124</v>
      </c>
      <c r="K2" s="15"/>
      <c r="L2" s="15"/>
      <c r="M2" s="16"/>
      <c r="N2" s="24" t="s">
        <v>125</v>
      </c>
      <c r="O2" s="15"/>
      <c r="P2" s="15"/>
      <c r="Q2" s="16"/>
      <c r="R2" s="25" t="s">
        <v>126</v>
      </c>
      <c r="S2" s="15"/>
      <c r="T2" s="15"/>
      <c r="U2" s="16"/>
      <c r="V2" s="26"/>
    </row>
    <row r="3" ht="15.75" customHeight="1">
      <c r="A3" s="27" t="s">
        <v>127</v>
      </c>
      <c r="B3" s="27" t="s">
        <v>128</v>
      </c>
      <c r="C3" s="28" t="s">
        <v>129</v>
      </c>
      <c r="D3" s="27" t="s">
        <v>130</v>
      </c>
      <c r="E3" s="27" t="s">
        <v>131</v>
      </c>
      <c r="F3" s="27" t="s">
        <v>132</v>
      </c>
      <c r="G3" s="27" t="s">
        <v>133</v>
      </c>
      <c r="H3" s="27" t="s">
        <v>134</v>
      </c>
      <c r="I3" s="27" t="s">
        <v>135</v>
      </c>
      <c r="J3" s="27" t="s">
        <v>136</v>
      </c>
      <c r="K3" s="27" t="s">
        <v>137</v>
      </c>
      <c r="L3" s="27" t="s">
        <v>138</v>
      </c>
      <c r="M3" s="27" t="s">
        <v>139</v>
      </c>
      <c r="N3" s="27" t="s">
        <v>140</v>
      </c>
      <c r="O3" s="27" t="s">
        <v>141</v>
      </c>
      <c r="P3" s="27" t="s">
        <v>138</v>
      </c>
      <c r="Q3" s="27" t="s">
        <v>142</v>
      </c>
      <c r="R3" s="27" t="s">
        <v>143</v>
      </c>
      <c r="S3" s="27" t="s">
        <v>144</v>
      </c>
      <c r="T3" s="27" t="s">
        <v>138</v>
      </c>
      <c r="U3" s="27" t="s">
        <v>145</v>
      </c>
      <c r="V3" s="27" t="s">
        <v>146</v>
      </c>
    </row>
    <row r="4" ht="15.0" customHeight="1">
      <c r="A4" s="29">
        <v>1.0</v>
      </c>
      <c r="B4" s="30" t="s">
        <v>147</v>
      </c>
      <c r="C4" s="31" t="s">
        <v>148</v>
      </c>
      <c r="D4" s="32" t="s">
        <v>149</v>
      </c>
      <c r="E4" s="33" t="s">
        <v>62</v>
      </c>
      <c r="F4" s="33" t="s">
        <v>65</v>
      </c>
      <c r="G4" s="34" t="s">
        <v>57</v>
      </c>
      <c r="H4" s="35">
        <v>2.0</v>
      </c>
      <c r="I4" s="35">
        <v>0.0</v>
      </c>
      <c r="J4" s="36">
        <v>2.0</v>
      </c>
      <c r="K4" s="36">
        <v>0.0</v>
      </c>
      <c r="L4" s="37"/>
      <c r="M4" s="38">
        <f t="shared" ref="M4:M75" si="1">IF(OR($H4="",$I4=""),"",IF(OR(J4="",K4=""),-1,(IF(AND(J4=$H4,K4=$I4),5,IF(SIGN(J4-K4)=SIGN($H4-$I4),IF((J4-K4)=($H4-$I4),4,3),0)))*IF(L4="J",2,1)))</f>
        <v>5</v>
      </c>
      <c r="N4" s="39">
        <v>2.0</v>
      </c>
      <c r="O4" s="39">
        <v>1.0</v>
      </c>
      <c r="P4" s="40"/>
      <c r="Q4" s="38">
        <f t="shared" ref="Q4:Q13" si="2">IF(OR($H4="",$I4=""),"",IF(OR(N4="",O4=""),-1,(IF(AND(N4=$H4,O4=$I4),5,IF(SIGN(N4-O4)=SIGN($H4-$I4),IF((N4-O4)=($H4-$I4),4,3),0)))*IF(P4="J",2,1)))</f>
        <v>3</v>
      </c>
      <c r="R4" s="41">
        <v>2.0</v>
      </c>
      <c r="S4" s="41">
        <v>0.0</v>
      </c>
      <c r="T4" s="42"/>
      <c r="U4" s="38">
        <f t="shared" ref="U4:U75" si="3">IF(OR($H4="",$I4=""),"",IF(OR(R4="",S4=""),-1,(IF(AND(R4=$H4,S4=$I4),5,IF(SIGN(R4-S4)=SIGN($H4-$I4),IF((R4-S4)=($H4-$I4),4,3),0)))*IF(T4="J",2,1)))</f>
        <v>5</v>
      </c>
      <c r="V4" s="43" t="s">
        <v>150</v>
      </c>
    </row>
    <row r="5" ht="15.0" customHeight="1">
      <c r="A5" s="29">
        <v>2.0</v>
      </c>
      <c r="B5" s="30" t="s">
        <v>147</v>
      </c>
      <c r="C5" s="31" t="s">
        <v>151</v>
      </c>
      <c r="D5" s="32" t="s">
        <v>149</v>
      </c>
      <c r="E5" s="33" t="s">
        <v>63</v>
      </c>
      <c r="F5" s="33" t="s">
        <v>64</v>
      </c>
      <c r="G5" s="34" t="s">
        <v>57</v>
      </c>
      <c r="H5" s="35">
        <v>2.0</v>
      </c>
      <c r="I5" s="35">
        <v>1.0</v>
      </c>
      <c r="J5" s="36">
        <v>1.0</v>
      </c>
      <c r="K5" s="36">
        <v>1.0</v>
      </c>
      <c r="L5" s="37"/>
      <c r="M5" s="38">
        <f t="shared" si="1"/>
        <v>0</v>
      </c>
      <c r="N5" s="39">
        <v>2.0</v>
      </c>
      <c r="O5" s="39">
        <v>1.0</v>
      </c>
      <c r="P5" s="40"/>
      <c r="Q5" s="38">
        <f t="shared" si="2"/>
        <v>5</v>
      </c>
      <c r="R5" s="41">
        <v>2.0</v>
      </c>
      <c r="S5" s="41">
        <v>1.0</v>
      </c>
      <c r="T5" s="42"/>
      <c r="U5" s="38">
        <f t="shared" si="3"/>
        <v>5</v>
      </c>
      <c r="V5" s="43" t="s">
        <v>152</v>
      </c>
    </row>
    <row r="6" ht="15.0" customHeight="1">
      <c r="A6" s="44">
        <v>3.0</v>
      </c>
      <c r="B6" s="45" t="s">
        <v>153</v>
      </c>
      <c r="C6" s="46" t="s">
        <v>148</v>
      </c>
      <c r="D6" s="47" t="s">
        <v>154</v>
      </c>
      <c r="E6" s="48" t="s">
        <v>67</v>
      </c>
      <c r="F6" s="48" t="s">
        <v>68</v>
      </c>
      <c r="G6" s="49" t="s">
        <v>57</v>
      </c>
      <c r="H6" s="50">
        <v>1.0</v>
      </c>
      <c r="I6" s="50">
        <v>1.0</v>
      </c>
      <c r="J6" s="36">
        <v>1.0</v>
      </c>
      <c r="K6" s="36">
        <v>0.0</v>
      </c>
      <c r="L6" s="37"/>
      <c r="M6" s="38">
        <f t="shared" si="1"/>
        <v>0</v>
      </c>
      <c r="N6" s="39">
        <v>1.0</v>
      </c>
      <c r="O6" s="39">
        <v>1.0</v>
      </c>
      <c r="P6" s="40"/>
      <c r="Q6" s="38">
        <f t="shared" si="2"/>
        <v>5</v>
      </c>
      <c r="R6" s="41">
        <v>2.0</v>
      </c>
      <c r="S6" s="41">
        <v>1.0</v>
      </c>
      <c r="T6" s="42"/>
      <c r="U6" s="38">
        <f t="shared" si="3"/>
        <v>0</v>
      </c>
      <c r="V6" s="51" t="s">
        <v>155</v>
      </c>
    </row>
    <row r="7" ht="15.0" customHeight="1">
      <c r="A7" s="44">
        <v>4.0</v>
      </c>
      <c r="B7" s="45" t="s">
        <v>153</v>
      </c>
      <c r="C7" s="46" t="s">
        <v>156</v>
      </c>
      <c r="D7" s="47" t="s">
        <v>56</v>
      </c>
      <c r="E7" s="48" t="s">
        <v>77</v>
      </c>
      <c r="F7" s="48" t="s">
        <v>78</v>
      </c>
      <c r="G7" s="49" t="s">
        <v>57</v>
      </c>
      <c r="H7" s="50">
        <v>4.0</v>
      </c>
      <c r="I7" s="50">
        <v>1.0</v>
      </c>
      <c r="J7" s="36">
        <v>2.0</v>
      </c>
      <c r="K7" s="36">
        <v>1.0</v>
      </c>
      <c r="L7" s="37"/>
      <c r="M7" s="38">
        <f t="shared" si="1"/>
        <v>3</v>
      </c>
      <c r="N7" s="39">
        <v>3.0</v>
      </c>
      <c r="O7" s="39">
        <v>2.0</v>
      </c>
      <c r="P7" s="40"/>
      <c r="Q7" s="38">
        <f t="shared" si="2"/>
        <v>3</v>
      </c>
      <c r="R7" s="41">
        <v>1.0</v>
      </c>
      <c r="S7" s="41">
        <v>0.0</v>
      </c>
      <c r="T7" s="42"/>
      <c r="U7" s="38">
        <f t="shared" si="3"/>
        <v>3</v>
      </c>
      <c r="V7" s="51" t="s">
        <v>157</v>
      </c>
    </row>
    <row r="8" ht="15.0" customHeight="1">
      <c r="A8" s="29">
        <v>5.0</v>
      </c>
      <c r="B8" s="30" t="s">
        <v>153</v>
      </c>
      <c r="C8" s="31" t="s">
        <v>158</v>
      </c>
      <c r="D8" s="32" t="s">
        <v>56</v>
      </c>
      <c r="E8" s="33" t="s">
        <v>79</v>
      </c>
      <c r="F8" s="33" t="s">
        <v>80</v>
      </c>
      <c r="G8" s="34" t="s">
        <v>57</v>
      </c>
      <c r="H8" s="50">
        <v>2.0</v>
      </c>
      <c r="I8" s="50">
        <v>0.0</v>
      </c>
      <c r="J8" s="36">
        <v>1.0</v>
      </c>
      <c r="K8" s="36">
        <v>2.0</v>
      </c>
      <c r="L8" s="37"/>
      <c r="M8" s="38">
        <f t="shared" si="1"/>
        <v>0</v>
      </c>
      <c r="N8" s="39">
        <v>1.0</v>
      </c>
      <c r="O8" s="39">
        <v>2.0</v>
      </c>
      <c r="P8" s="40"/>
      <c r="Q8" s="38">
        <f t="shared" si="2"/>
        <v>0</v>
      </c>
      <c r="R8" s="41">
        <v>0.0</v>
      </c>
      <c r="S8" s="41">
        <v>1.0</v>
      </c>
      <c r="T8" s="42"/>
      <c r="U8" s="38">
        <f t="shared" si="3"/>
        <v>0</v>
      </c>
      <c r="V8" s="43" t="s">
        <v>159</v>
      </c>
    </row>
    <row r="9" ht="15.0" customHeight="1">
      <c r="A9" s="29">
        <v>6.0</v>
      </c>
      <c r="B9" s="30" t="s">
        <v>160</v>
      </c>
      <c r="C9" s="31" t="s">
        <v>161</v>
      </c>
      <c r="D9" s="32" t="s">
        <v>154</v>
      </c>
      <c r="E9" s="33" t="s">
        <v>69</v>
      </c>
      <c r="F9" s="33" t="s">
        <v>70</v>
      </c>
      <c r="G9" s="34" t="s">
        <v>57</v>
      </c>
      <c r="H9" s="50">
        <v>1.0</v>
      </c>
      <c r="I9" s="50">
        <v>1.0</v>
      </c>
      <c r="J9" s="36">
        <v>0.0</v>
      </c>
      <c r="K9" s="36">
        <v>2.0</v>
      </c>
      <c r="L9" s="37"/>
      <c r="M9" s="38">
        <f t="shared" si="1"/>
        <v>0</v>
      </c>
      <c r="N9" s="39">
        <v>0.0</v>
      </c>
      <c r="O9" s="39">
        <v>2.0</v>
      </c>
      <c r="P9" s="40"/>
      <c r="Q9" s="38">
        <f t="shared" si="2"/>
        <v>0</v>
      </c>
      <c r="R9" s="41">
        <v>0.0</v>
      </c>
      <c r="S9" s="41">
        <v>2.0</v>
      </c>
      <c r="T9" s="42"/>
      <c r="U9" s="38">
        <f t="shared" si="3"/>
        <v>0</v>
      </c>
      <c r="V9" s="43" t="s">
        <v>162</v>
      </c>
    </row>
    <row r="10" ht="15.0" customHeight="1">
      <c r="A10" s="29">
        <v>7.0</v>
      </c>
      <c r="B10" s="30" t="s">
        <v>160</v>
      </c>
      <c r="C10" s="31" t="s">
        <v>163</v>
      </c>
      <c r="D10" s="32" t="s">
        <v>164</v>
      </c>
      <c r="E10" s="33" t="s">
        <v>72</v>
      </c>
      <c r="F10" s="33" t="s">
        <v>73</v>
      </c>
      <c r="G10" s="34" t="s">
        <v>57</v>
      </c>
      <c r="H10" s="50">
        <v>1.0</v>
      </c>
      <c r="I10" s="50">
        <v>1.0</v>
      </c>
      <c r="J10" s="36">
        <v>1.0</v>
      </c>
      <c r="K10" s="36">
        <v>2.0</v>
      </c>
      <c r="L10" s="37"/>
      <c r="M10" s="38">
        <f t="shared" si="1"/>
        <v>0</v>
      </c>
      <c r="N10" s="39">
        <v>2.0</v>
      </c>
      <c r="O10" s="39">
        <v>2.0</v>
      </c>
      <c r="P10" s="40"/>
      <c r="Q10" s="38">
        <f t="shared" si="2"/>
        <v>4</v>
      </c>
      <c r="R10" s="41">
        <v>2.0</v>
      </c>
      <c r="S10" s="41">
        <v>1.0</v>
      </c>
      <c r="T10" s="42"/>
      <c r="U10" s="38">
        <f t="shared" si="3"/>
        <v>0</v>
      </c>
      <c r="V10" s="43" t="s">
        <v>165</v>
      </c>
    </row>
    <row r="11" ht="15.0" customHeight="1">
      <c r="A11" s="29">
        <v>8.0</v>
      </c>
      <c r="B11" s="30" t="s">
        <v>160</v>
      </c>
      <c r="C11" s="31" t="s">
        <v>156</v>
      </c>
      <c r="D11" s="32" t="s">
        <v>164</v>
      </c>
      <c r="E11" s="33" t="s">
        <v>75</v>
      </c>
      <c r="F11" s="33" t="s">
        <v>74</v>
      </c>
      <c r="G11" s="34" t="s">
        <v>57</v>
      </c>
      <c r="H11" s="50">
        <v>0.0</v>
      </c>
      <c r="I11" s="50">
        <v>1.0</v>
      </c>
      <c r="J11" s="36">
        <v>0.0</v>
      </c>
      <c r="K11" s="36">
        <v>2.0</v>
      </c>
      <c r="L11" s="37"/>
      <c r="M11" s="38">
        <f t="shared" si="1"/>
        <v>3</v>
      </c>
      <c r="N11" s="39">
        <v>0.0</v>
      </c>
      <c r="O11" s="39">
        <v>2.0</v>
      </c>
      <c r="P11" s="40"/>
      <c r="Q11" s="38">
        <f t="shared" si="2"/>
        <v>3</v>
      </c>
      <c r="R11" s="41">
        <v>0.0</v>
      </c>
      <c r="S11" s="41">
        <v>2.0</v>
      </c>
      <c r="T11" s="42"/>
      <c r="U11" s="38">
        <f t="shared" si="3"/>
        <v>3</v>
      </c>
      <c r="V11" s="43" t="s">
        <v>166</v>
      </c>
    </row>
    <row r="12" ht="15.0" customHeight="1">
      <c r="A12" s="52">
        <v>9.0</v>
      </c>
      <c r="B12" s="53" t="s">
        <v>167</v>
      </c>
      <c r="C12" s="54" t="s">
        <v>168</v>
      </c>
      <c r="D12" s="55" t="s">
        <v>169</v>
      </c>
      <c r="E12" s="56" t="s">
        <v>82</v>
      </c>
      <c r="F12" s="56" t="s">
        <v>83</v>
      </c>
      <c r="G12" s="57" t="s">
        <v>57</v>
      </c>
      <c r="H12" s="58">
        <v>7.0</v>
      </c>
      <c r="I12" s="58">
        <v>1.0</v>
      </c>
      <c r="J12" s="59">
        <v>3.0</v>
      </c>
      <c r="K12" s="59">
        <v>0.0</v>
      </c>
      <c r="L12" s="60" t="s">
        <v>170</v>
      </c>
      <c r="M12" s="61">
        <f t="shared" si="1"/>
        <v>6</v>
      </c>
      <c r="N12" s="59">
        <v>4.0</v>
      </c>
      <c r="O12" s="59">
        <v>0.0</v>
      </c>
      <c r="P12" s="62" t="s">
        <v>170</v>
      </c>
      <c r="Q12" s="61">
        <f t="shared" si="2"/>
        <v>6</v>
      </c>
      <c r="R12" s="59">
        <v>4.0</v>
      </c>
      <c r="S12" s="59">
        <v>0.0</v>
      </c>
      <c r="T12" s="63" t="s">
        <v>170</v>
      </c>
      <c r="U12" s="61">
        <f t="shared" si="3"/>
        <v>6</v>
      </c>
      <c r="V12" s="64" t="s">
        <v>171</v>
      </c>
    </row>
    <row r="13" ht="15.0" customHeight="1">
      <c r="A13" s="52">
        <v>10.0</v>
      </c>
      <c r="B13" s="53" t="s">
        <v>167</v>
      </c>
      <c r="C13" s="54" t="s">
        <v>172</v>
      </c>
      <c r="D13" s="55" t="s">
        <v>173</v>
      </c>
      <c r="E13" s="56" t="s">
        <v>87</v>
      </c>
      <c r="F13" s="56" t="s">
        <v>88</v>
      </c>
      <c r="G13" s="57" t="s">
        <v>57</v>
      </c>
      <c r="H13" s="58">
        <v>2.0</v>
      </c>
      <c r="I13" s="58">
        <v>2.0</v>
      </c>
      <c r="J13" s="59">
        <v>2.0</v>
      </c>
      <c r="K13" s="59">
        <v>1.0</v>
      </c>
      <c r="L13" s="65"/>
      <c r="M13" s="61">
        <f t="shared" si="1"/>
        <v>0</v>
      </c>
      <c r="N13" s="59">
        <v>0.0</v>
      </c>
      <c r="O13" s="59">
        <v>0.0</v>
      </c>
      <c r="P13" s="66"/>
      <c r="Q13" s="61">
        <f t="shared" si="2"/>
        <v>4</v>
      </c>
      <c r="R13" s="59">
        <v>1.0</v>
      </c>
      <c r="S13" s="59">
        <v>1.0</v>
      </c>
      <c r="T13" s="67"/>
      <c r="U13" s="61">
        <f t="shared" si="3"/>
        <v>4</v>
      </c>
      <c r="V13" s="64" t="s">
        <v>174</v>
      </c>
    </row>
    <row r="14" ht="15.0" customHeight="1">
      <c r="A14" s="52">
        <v>11.0</v>
      </c>
      <c r="B14" s="53" t="s">
        <v>167</v>
      </c>
      <c r="C14" s="54" t="s">
        <v>175</v>
      </c>
      <c r="D14" s="55" t="s">
        <v>169</v>
      </c>
      <c r="E14" s="56" t="s">
        <v>84</v>
      </c>
      <c r="F14" s="56" t="s">
        <v>85</v>
      </c>
      <c r="G14" s="57" t="s">
        <v>57</v>
      </c>
      <c r="H14" s="58">
        <v>1.0</v>
      </c>
      <c r="I14" s="58">
        <v>0.0</v>
      </c>
      <c r="J14" s="59">
        <v>1.0</v>
      </c>
      <c r="K14" s="59">
        <v>1.0</v>
      </c>
      <c r="L14" s="65"/>
      <c r="M14" s="61">
        <f t="shared" si="1"/>
        <v>0</v>
      </c>
      <c r="N14" s="59">
        <v>1.0</v>
      </c>
      <c r="O14" s="59">
        <v>1.0</v>
      </c>
      <c r="P14" s="66"/>
      <c r="Q14" s="58">
        <v>0.0</v>
      </c>
      <c r="R14" s="59">
        <v>1.0</v>
      </c>
      <c r="S14" s="59">
        <v>1.0</v>
      </c>
      <c r="T14" s="67"/>
      <c r="U14" s="61">
        <f t="shared" si="3"/>
        <v>0</v>
      </c>
      <c r="V14" s="64" t="s">
        <v>176</v>
      </c>
    </row>
    <row r="15" ht="15.0" customHeight="1">
      <c r="A15" s="52">
        <v>12.0</v>
      </c>
      <c r="B15" s="53" t="s">
        <v>167</v>
      </c>
      <c r="C15" s="54" t="s">
        <v>151</v>
      </c>
      <c r="D15" s="55" t="s">
        <v>173</v>
      </c>
      <c r="E15" s="56" t="s">
        <v>90</v>
      </c>
      <c r="F15" s="56" t="s">
        <v>89</v>
      </c>
      <c r="G15" s="57" t="s">
        <v>57</v>
      </c>
      <c r="H15" s="58">
        <v>5.0</v>
      </c>
      <c r="I15" s="58">
        <v>1.0</v>
      </c>
      <c r="J15" s="59">
        <v>1.0</v>
      </c>
      <c r="K15" s="59">
        <v>0.0</v>
      </c>
      <c r="L15" s="65"/>
      <c r="M15" s="61">
        <f t="shared" si="1"/>
        <v>3</v>
      </c>
      <c r="N15" s="59">
        <v>1.0</v>
      </c>
      <c r="O15" s="59">
        <v>0.0</v>
      </c>
      <c r="P15" s="66"/>
      <c r="Q15" s="61">
        <f t="shared" ref="Q15:Q75" si="4">IF(OR($H15="",$I15=""),"",IF(OR(N15="",O15=""),-1,(IF(AND(N15=$H15,O15=$I15),5,IF(SIGN(N15-O15)=SIGN($H15-$I15),IF((N15-O15)=($H15-$I15),4,3),0)))*IF(P15="J",2,1)))</f>
        <v>3</v>
      </c>
      <c r="R15" s="59">
        <v>1.0</v>
      </c>
      <c r="S15" s="59">
        <v>0.0</v>
      </c>
      <c r="T15" s="67"/>
      <c r="U15" s="61">
        <f t="shared" si="3"/>
        <v>3</v>
      </c>
      <c r="V15" s="64" t="s">
        <v>177</v>
      </c>
    </row>
    <row r="16" ht="15.0" customHeight="1">
      <c r="A16" s="52">
        <v>13.0</v>
      </c>
      <c r="B16" s="53" t="s">
        <v>178</v>
      </c>
      <c r="C16" s="54" t="s">
        <v>179</v>
      </c>
      <c r="D16" s="55" t="s">
        <v>180</v>
      </c>
      <c r="E16" s="56" t="s">
        <v>97</v>
      </c>
      <c r="F16" s="56" t="s">
        <v>98</v>
      </c>
      <c r="G16" s="57" t="s">
        <v>57</v>
      </c>
      <c r="H16" s="58">
        <v>0.0</v>
      </c>
      <c r="I16" s="58">
        <v>0.0</v>
      </c>
      <c r="J16" s="59">
        <v>5.0</v>
      </c>
      <c r="K16" s="59">
        <v>0.0</v>
      </c>
      <c r="L16" s="65"/>
      <c r="M16" s="61">
        <f t="shared" si="1"/>
        <v>0</v>
      </c>
      <c r="N16" s="59">
        <v>4.0</v>
      </c>
      <c r="O16" s="59">
        <v>0.0</v>
      </c>
      <c r="P16" s="62" t="s">
        <v>170</v>
      </c>
      <c r="Q16" s="61">
        <f t="shared" si="4"/>
        <v>0</v>
      </c>
      <c r="R16" s="59">
        <v>4.0</v>
      </c>
      <c r="S16" s="59">
        <v>0.0</v>
      </c>
      <c r="T16" s="63" t="s">
        <v>170</v>
      </c>
      <c r="U16" s="61">
        <f t="shared" si="3"/>
        <v>0</v>
      </c>
      <c r="V16" s="64" t="s">
        <v>181</v>
      </c>
    </row>
    <row r="17" ht="15.0" customHeight="1">
      <c r="A17" s="52">
        <v>14.0</v>
      </c>
      <c r="B17" s="53" t="s">
        <v>178</v>
      </c>
      <c r="C17" s="54" t="s">
        <v>148</v>
      </c>
      <c r="D17" s="55" t="s">
        <v>182</v>
      </c>
      <c r="E17" s="56" t="s">
        <v>92</v>
      </c>
      <c r="F17" s="56" t="s">
        <v>93</v>
      </c>
      <c r="G17" s="57" t="s">
        <v>57</v>
      </c>
      <c r="H17" s="58">
        <v>1.0</v>
      </c>
      <c r="I17" s="58">
        <v>1.0</v>
      </c>
      <c r="J17" s="59">
        <v>2.0</v>
      </c>
      <c r="K17" s="59">
        <v>1.0</v>
      </c>
      <c r="L17" s="65"/>
      <c r="M17" s="61">
        <f t="shared" si="1"/>
        <v>0</v>
      </c>
      <c r="N17" s="59">
        <v>1.0</v>
      </c>
      <c r="O17" s="59">
        <v>1.0</v>
      </c>
      <c r="P17" s="66"/>
      <c r="Q17" s="61">
        <f t="shared" si="4"/>
        <v>5</v>
      </c>
      <c r="R17" s="59">
        <v>2.0</v>
      </c>
      <c r="S17" s="59">
        <v>1.0</v>
      </c>
      <c r="T17" s="67"/>
      <c r="U17" s="61">
        <f t="shared" si="3"/>
        <v>0</v>
      </c>
      <c r="V17" s="64" t="s">
        <v>183</v>
      </c>
    </row>
    <row r="18" ht="15.0" customHeight="1">
      <c r="A18" s="52">
        <v>15.0</v>
      </c>
      <c r="B18" s="53" t="s">
        <v>178</v>
      </c>
      <c r="C18" s="54" t="s">
        <v>184</v>
      </c>
      <c r="D18" s="55" t="s">
        <v>180</v>
      </c>
      <c r="E18" s="56" t="s">
        <v>99</v>
      </c>
      <c r="F18" s="56" t="s">
        <v>100</v>
      </c>
      <c r="G18" s="57" t="s">
        <v>57</v>
      </c>
      <c r="H18" s="58">
        <v>1.0</v>
      </c>
      <c r="I18" s="58">
        <v>1.0</v>
      </c>
      <c r="J18" s="59">
        <v>1.0</v>
      </c>
      <c r="K18" s="59">
        <v>2.0</v>
      </c>
      <c r="L18" s="65"/>
      <c r="M18" s="61">
        <f t="shared" si="1"/>
        <v>0</v>
      </c>
      <c r="N18" s="59">
        <v>0.0</v>
      </c>
      <c r="O18" s="59">
        <v>1.0</v>
      </c>
      <c r="P18" s="66"/>
      <c r="Q18" s="61">
        <f t="shared" si="4"/>
        <v>0</v>
      </c>
      <c r="R18" s="59">
        <v>0.0</v>
      </c>
      <c r="S18" s="59">
        <v>1.0</v>
      </c>
      <c r="T18" s="67"/>
      <c r="U18" s="61">
        <f t="shared" si="3"/>
        <v>0</v>
      </c>
      <c r="V18" s="64" t="s">
        <v>185</v>
      </c>
    </row>
    <row r="19" ht="15.0" customHeight="1">
      <c r="A19" s="52">
        <v>16.0</v>
      </c>
      <c r="B19" s="53" t="s">
        <v>178</v>
      </c>
      <c r="C19" s="54" t="s">
        <v>156</v>
      </c>
      <c r="D19" s="55" t="s">
        <v>182</v>
      </c>
      <c r="E19" s="56" t="s">
        <v>94</v>
      </c>
      <c r="F19" s="56" t="s">
        <v>95</v>
      </c>
      <c r="G19" s="57" t="s">
        <v>57</v>
      </c>
      <c r="H19" s="58">
        <v>2.0</v>
      </c>
      <c r="I19" s="58">
        <v>2.0</v>
      </c>
      <c r="J19" s="59">
        <v>1.0</v>
      </c>
      <c r="K19" s="59">
        <v>0.0</v>
      </c>
      <c r="L19" s="65"/>
      <c r="M19" s="61">
        <f t="shared" si="1"/>
        <v>0</v>
      </c>
      <c r="N19" s="59">
        <v>1.0</v>
      </c>
      <c r="O19" s="59">
        <v>1.0</v>
      </c>
      <c r="P19" s="66"/>
      <c r="Q19" s="61">
        <f t="shared" si="4"/>
        <v>4</v>
      </c>
      <c r="R19" s="59">
        <v>1.0</v>
      </c>
      <c r="S19" s="59">
        <v>0.0</v>
      </c>
      <c r="T19" s="67"/>
      <c r="U19" s="61">
        <f t="shared" si="3"/>
        <v>0</v>
      </c>
      <c r="V19" s="64" t="s">
        <v>157</v>
      </c>
    </row>
    <row r="20" ht="15.0" customHeight="1">
      <c r="A20" s="52">
        <v>18.0</v>
      </c>
      <c r="B20" s="53" t="s">
        <v>186</v>
      </c>
      <c r="C20" s="54" t="s">
        <v>148</v>
      </c>
      <c r="D20" s="55" t="s">
        <v>187</v>
      </c>
      <c r="E20" s="56" t="s">
        <v>102</v>
      </c>
      <c r="F20" s="56" t="s">
        <v>103</v>
      </c>
      <c r="G20" s="57" t="s">
        <v>57</v>
      </c>
      <c r="H20" s="68">
        <v>3.0</v>
      </c>
      <c r="I20" s="58">
        <v>1.0</v>
      </c>
      <c r="J20" s="59">
        <v>3.0</v>
      </c>
      <c r="K20" s="59">
        <v>1.0</v>
      </c>
      <c r="L20" s="65"/>
      <c r="M20" s="61">
        <f t="shared" si="1"/>
        <v>5</v>
      </c>
      <c r="N20" s="59">
        <v>2.0</v>
      </c>
      <c r="O20" s="59">
        <v>1.0</v>
      </c>
      <c r="P20" s="66"/>
      <c r="Q20" s="61">
        <f t="shared" si="4"/>
        <v>3</v>
      </c>
      <c r="R20" s="59">
        <v>2.0</v>
      </c>
      <c r="S20" s="59">
        <v>1.0</v>
      </c>
      <c r="T20" s="67"/>
      <c r="U20" s="61">
        <f t="shared" si="3"/>
        <v>3</v>
      </c>
      <c r="V20" s="64" t="s">
        <v>165</v>
      </c>
    </row>
    <row r="21" ht="15.0" customHeight="1">
      <c r="A21" s="52">
        <v>19.0</v>
      </c>
      <c r="B21" s="53" t="s">
        <v>186</v>
      </c>
      <c r="C21" s="54" t="s">
        <v>184</v>
      </c>
      <c r="D21" s="55" t="s">
        <v>187</v>
      </c>
      <c r="E21" s="56" t="s">
        <v>105</v>
      </c>
      <c r="F21" s="56" t="s">
        <v>104</v>
      </c>
      <c r="G21" s="57" t="s">
        <v>57</v>
      </c>
      <c r="H21" s="58">
        <v>1.0</v>
      </c>
      <c r="I21" s="68">
        <v>4.0</v>
      </c>
      <c r="J21" s="59">
        <v>0.0</v>
      </c>
      <c r="K21" s="59">
        <v>3.0</v>
      </c>
      <c r="L21" s="60" t="s">
        <v>170</v>
      </c>
      <c r="M21" s="61">
        <f t="shared" si="1"/>
        <v>8</v>
      </c>
      <c r="N21" s="59">
        <v>0.0</v>
      </c>
      <c r="O21" s="59">
        <v>3.0</v>
      </c>
      <c r="P21" s="66"/>
      <c r="Q21" s="61">
        <f t="shared" si="4"/>
        <v>4</v>
      </c>
      <c r="R21" s="59">
        <v>0.0</v>
      </c>
      <c r="S21" s="59">
        <v>2.0</v>
      </c>
      <c r="T21" s="67"/>
      <c r="U21" s="61">
        <f t="shared" si="3"/>
        <v>3</v>
      </c>
      <c r="V21" s="64" t="s">
        <v>188</v>
      </c>
    </row>
    <row r="22" ht="15.0" customHeight="1">
      <c r="A22" s="52">
        <v>20.0</v>
      </c>
      <c r="B22" s="53" t="s">
        <v>186</v>
      </c>
      <c r="C22" s="54" t="s">
        <v>156</v>
      </c>
      <c r="D22" s="55" t="s">
        <v>170</v>
      </c>
      <c r="E22" s="56" t="s">
        <v>107</v>
      </c>
      <c r="F22" s="56" t="s">
        <v>108</v>
      </c>
      <c r="G22" s="57" t="s">
        <v>57</v>
      </c>
      <c r="H22" s="58">
        <v>3.0</v>
      </c>
      <c r="I22" s="58">
        <v>0.0</v>
      </c>
      <c r="J22" s="59">
        <v>2.0</v>
      </c>
      <c r="K22" s="59">
        <v>1.0</v>
      </c>
      <c r="L22" s="65"/>
      <c r="M22" s="61">
        <f t="shared" si="1"/>
        <v>3</v>
      </c>
      <c r="N22" s="59">
        <v>2.0</v>
      </c>
      <c r="O22" s="59">
        <v>1.0</v>
      </c>
      <c r="P22" s="66"/>
      <c r="Q22" s="61">
        <f t="shared" si="4"/>
        <v>3</v>
      </c>
      <c r="R22" s="59">
        <v>3.0</v>
      </c>
      <c r="S22" s="59">
        <v>1.0</v>
      </c>
      <c r="T22" s="67"/>
      <c r="U22" s="61">
        <f t="shared" si="3"/>
        <v>3</v>
      </c>
      <c r="V22" s="64" t="s">
        <v>189</v>
      </c>
    </row>
    <row r="23" ht="15.0" customHeight="1">
      <c r="A23" s="52">
        <v>17.0</v>
      </c>
      <c r="B23" s="53" t="s">
        <v>186</v>
      </c>
      <c r="C23" s="54" t="s">
        <v>158</v>
      </c>
      <c r="D23" s="55" t="s">
        <v>170</v>
      </c>
      <c r="E23" s="56" t="s">
        <v>109</v>
      </c>
      <c r="F23" s="56" t="s">
        <v>110</v>
      </c>
      <c r="G23" s="57" t="s">
        <v>57</v>
      </c>
      <c r="H23" s="58">
        <v>3.0</v>
      </c>
      <c r="I23" s="58">
        <v>1.0</v>
      </c>
      <c r="J23" s="59">
        <v>2.0</v>
      </c>
      <c r="K23" s="59">
        <v>0.0</v>
      </c>
      <c r="L23" s="60"/>
      <c r="M23" s="61">
        <f t="shared" si="1"/>
        <v>4</v>
      </c>
      <c r="N23" s="59">
        <v>1.0</v>
      </c>
      <c r="O23" s="59">
        <v>0.0</v>
      </c>
      <c r="P23" s="66"/>
      <c r="Q23" s="61">
        <f t="shared" si="4"/>
        <v>3</v>
      </c>
      <c r="R23" s="59">
        <v>2.0</v>
      </c>
      <c r="S23" s="59">
        <v>0.0</v>
      </c>
      <c r="T23" s="67"/>
      <c r="U23" s="61">
        <f t="shared" si="3"/>
        <v>4</v>
      </c>
      <c r="V23" s="64" t="s">
        <v>162</v>
      </c>
    </row>
    <row r="24" ht="15.0" customHeight="1">
      <c r="A24" s="52">
        <v>21.0</v>
      </c>
      <c r="B24" s="53" t="s">
        <v>190</v>
      </c>
      <c r="C24" s="54" t="s">
        <v>168</v>
      </c>
      <c r="D24" s="55" t="s">
        <v>191</v>
      </c>
      <c r="E24" s="56" t="s">
        <v>112</v>
      </c>
      <c r="F24" s="56" t="s">
        <v>113</v>
      </c>
      <c r="G24" s="57" t="s">
        <v>57</v>
      </c>
      <c r="H24" s="58">
        <v>1.0</v>
      </c>
      <c r="I24" s="58">
        <v>1.0</v>
      </c>
      <c r="J24" s="59">
        <v>3.0</v>
      </c>
      <c r="K24" s="59">
        <v>0.0</v>
      </c>
      <c r="L24" s="65"/>
      <c r="M24" s="61">
        <f t="shared" si="1"/>
        <v>0</v>
      </c>
      <c r="N24" s="59">
        <v>5.0</v>
      </c>
      <c r="O24" s="59">
        <v>0.0</v>
      </c>
      <c r="P24" s="62" t="s">
        <v>170</v>
      </c>
      <c r="Q24" s="61">
        <f t="shared" si="4"/>
        <v>0</v>
      </c>
      <c r="R24" s="59">
        <v>3.0</v>
      </c>
      <c r="S24" s="59">
        <v>0.0</v>
      </c>
      <c r="T24" s="67"/>
      <c r="U24" s="61">
        <f t="shared" si="3"/>
        <v>0</v>
      </c>
      <c r="V24" s="64" t="s">
        <v>171</v>
      </c>
    </row>
    <row r="25" ht="15.0" customHeight="1">
      <c r="A25" s="52">
        <v>22.0</v>
      </c>
      <c r="B25" s="53" t="s">
        <v>190</v>
      </c>
      <c r="C25" s="54" t="s">
        <v>172</v>
      </c>
      <c r="D25" s="55" t="s">
        <v>57</v>
      </c>
      <c r="E25" s="56" t="s">
        <v>117</v>
      </c>
      <c r="F25" s="56" t="s">
        <v>118</v>
      </c>
      <c r="G25" s="57" t="s">
        <v>57</v>
      </c>
      <c r="H25" s="58">
        <v>4.0</v>
      </c>
      <c r="I25" s="58">
        <v>2.0</v>
      </c>
      <c r="J25" s="59">
        <v>3.0</v>
      </c>
      <c r="K25" s="59">
        <v>1.0</v>
      </c>
      <c r="L25" s="65"/>
      <c r="M25" s="61">
        <f t="shared" si="1"/>
        <v>4</v>
      </c>
      <c r="N25" s="59">
        <v>2.0</v>
      </c>
      <c r="O25" s="59">
        <v>1.0</v>
      </c>
      <c r="P25" s="66"/>
      <c r="Q25" s="61">
        <f t="shared" si="4"/>
        <v>3</v>
      </c>
      <c r="R25" s="59">
        <v>1.0</v>
      </c>
      <c r="S25" s="59">
        <v>1.0</v>
      </c>
      <c r="T25" s="67"/>
      <c r="U25" s="61">
        <f t="shared" si="3"/>
        <v>0</v>
      </c>
      <c r="V25" s="64" t="s">
        <v>174</v>
      </c>
    </row>
    <row r="26" ht="15.0" customHeight="1">
      <c r="A26" s="52">
        <v>23.0</v>
      </c>
      <c r="B26" s="53" t="s">
        <v>190</v>
      </c>
      <c r="C26" s="54" t="s">
        <v>175</v>
      </c>
      <c r="D26" s="55" t="s">
        <v>57</v>
      </c>
      <c r="E26" s="56" t="s">
        <v>120</v>
      </c>
      <c r="F26" s="56" t="s">
        <v>119</v>
      </c>
      <c r="G26" s="57" t="s">
        <v>57</v>
      </c>
      <c r="H26" s="58">
        <v>1.0</v>
      </c>
      <c r="I26" s="58">
        <v>0.0</v>
      </c>
      <c r="J26" s="59">
        <v>1.0</v>
      </c>
      <c r="K26" s="59">
        <v>0.0</v>
      </c>
      <c r="L26" s="65"/>
      <c r="M26" s="61">
        <f t="shared" si="1"/>
        <v>5</v>
      </c>
      <c r="N26" s="59">
        <v>3.0</v>
      </c>
      <c r="O26" s="59">
        <v>1.0</v>
      </c>
      <c r="P26" s="66"/>
      <c r="Q26" s="61">
        <f t="shared" si="4"/>
        <v>3</v>
      </c>
      <c r="R26" s="59">
        <v>2.0</v>
      </c>
      <c r="S26" s="59">
        <v>1.0</v>
      </c>
      <c r="T26" s="67"/>
      <c r="U26" s="61">
        <f t="shared" si="3"/>
        <v>4</v>
      </c>
      <c r="V26" s="64" t="s">
        <v>155</v>
      </c>
    </row>
    <row r="27" ht="15.0" customHeight="1">
      <c r="A27" s="52">
        <v>24.0</v>
      </c>
      <c r="B27" s="53" t="s">
        <v>190</v>
      </c>
      <c r="C27" s="54" t="s">
        <v>151</v>
      </c>
      <c r="D27" s="55" t="s">
        <v>191</v>
      </c>
      <c r="E27" s="56" t="s">
        <v>114</v>
      </c>
      <c r="F27" s="56" t="s">
        <v>115</v>
      </c>
      <c r="G27" s="57" t="s">
        <v>57</v>
      </c>
      <c r="H27" s="58">
        <v>1.0</v>
      </c>
      <c r="I27" s="58">
        <v>3.0</v>
      </c>
      <c r="J27" s="59">
        <v>0.0</v>
      </c>
      <c r="K27" s="59">
        <v>2.0</v>
      </c>
      <c r="L27" s="65"/>
      <c r="M27" s="61">
        <f t="shared" si="1"/>
        <v>4</v>
      </c>
      <c r="N27" s="59">
        <v>1.0</v>
      </c>
      <c r="O27" s="59">
        <v>3.0</v>
      </c>
      <c r="P27" s="66"/>
      <c r="Q27" s="61">
        <f t="shared" si="4"/>
        <v>5</v>
      </c>
      <c r="R27" s="59">
        <v>0.0</v>
      </c>
      <c r="S27" s="59">
        <v>2.0</v>
      </c>
      <c r="T27" s="67"/>
      <c r="U27" s="61">
        <f t="shared" si="3"/>
        <v>4</v>
      </c>
      <c r="V27" s="64" t="s">
        <v>150</v>
      </c>
    </row>
    <row r="28" ht="15.0" customHeight="1">
      <c r="A28" s="52">
        <v>25.0</v>
      </c>
      <c r="B28" s="53" t="s">
        <v>192</v>
      </c>
      <c r="C28" s="54" t="s">
        <v>179</v>
      </c>
      <c r="D28" s="55" t="s">
        <v>149</v>
      </c>
      <c r="E28" s="56" t="s">
        <v>64</v>
      </c>
      <c r="F28" s="56" t="s">
        <v>65</v>
      </c>
      <c r="G28" s="57" t="s">
        <v>57</v>
      </c>
      <c r="H28" s="58">
        <v>1.0</v>
      </c>
      <c r="I28" s="58">
        <v>1.0</v>
      </c>
      <c r="J28" s="59">
        <v>2.0</v>
      </c>
      <c r="K28" s="59">
        <v>1.0</v>
      </c>
      <c r="L28" s="65"/>
      <c r="M28" s="61">
        <f t="shared" si="1"/>
        <v>0</v>
      </c>
      <c r="N28" s="59">
        <v>2.0</v>
      </c>
      <c r="O28" s="59">
        <v>1.0</v>
      </c>
      <c r="P28" s="66"/>
      <c r="Q28" s="61">
        <f t="shared" si="4"/>
        <v>0</v>
      </c>
      <c r="R28" s="59">
        <v>1.0</v>
      </c>
      <c r="S28" s="59">
        <v>0.0</v>
      </c>
      <c r="T28" s="67"/>
      <c r="U28" s="61">
        <f t="shared" si="3"/>
        <v>0</v>
      </c>
      <c r="V28" s="64" t="s">
        <v>181</v>
      </c>
    </row>
    <row r="29" ht="15.0" customHeight="1">
      <c r="A29" s="52">
        <v>26.0</v>
      </c>
      <c r="B29" s="53" t="s">
        <v>192</v>
      </c>
      <c r="C29" s="54" t="s">
        <v>148</v>
      </c>
      <c r="D29" s="55" t="s">
        <v>154</v>
      </c>
      <c r="E29" s="56" t="s">
        <v>70</v>
      </c>
      <c r="F29" s="56" t="s">
        <v>68</v>
      </c>
      <c r="G29" s="57" t="s">
        <v>57</v>
      </c>
      <c r="H29" s="58">
        <v>4.0</v>
      </c>
      <c r="I29" s="58">
        <v>1.0</v>
      </c>
      <c r="J29" s="59">
        <v>2.0</v>
      </c>
      <c r="K29" s="59">
        <v>1.0</v>
      </c>
      <c r="L29" s="65"/>
      <c r="M29" s="61">
        <f t="shared" si="1"/>
        <v>3</v>
      </c>
      <c r="N29" s="59">
        <v>1.0</v>
      </c>
      <c r="O29" s="59">
        <v>1.0</v>
      </c>
      <c r="P29" s="66"/>
      <c r="Q29" s="61">
        <f t="shared" si="4"/>
        <v>0</v>
      </c>
      <c r="R29" s="59">
        <v>2.0</v>
      </c>
      <c r="S29" s="59">
        <v>1.0</v>
      </c>
      <c r="T29" s="67"/>
      <c r="U29" s="61">
        <f t="shared" si="3"/>
        <v>3</v>
      </c>
      <c r="V29" s="64" t="s">
        <v>157</v>
      </c>
    </row>
    <row r="30" ht="15.0" customHeight="1">
      <c r="A30" s="52">
        <v>27.0</v>
      </c>
      <c r="B30" s="53" t="s">
        <v>192</v>
      </c>
      <c r="C30" s="54" t="s">
        <v>184</v>
      </c>
      <c r="D30" s="55" t="s">
        <v>154</v>
      </c>
      <c r="E30" s="56" t="s">
        <v>67</v>
      </c>
      <c r="F30" s="56" t="s">
        <v>69</v>
      </c>
      <c r="G30" s="57" t="s">
        <v>57</v>
      </c>
      <c r="H30" s="58">
        <v>6.0</v>
      </c>
      <c r="I30" s="58">
        <v>0.0</v>
      </c>
      <c r="J30" s="59">
        <v>1.0</v>
      </c>
      <c r="K30" s="59">
        <v>1.0</v>
      </c>
      <c r="L30" s="65"/>
      <c r="M30" s="61">
        <f t="shared" si="1"/>
        <v>0</v>
      </c>
      <c r="N30" s="59">
        <v>2.0</v>
      </c>
      <c r="O30" s="59">
        <v>0.0</v>
      </c>
      <c r="P30" s="66"/>
      <c r="Q30" s="61">
        <f t="shared" si="4"/>
        <v>3</v>
      </c>
      <c r="R30" s="59">
        <v>2.0</v>
      </c>
      <c r="S30" s="59">
        <v>1.0</v>
      </c>
      <c r="T30" s="67"/>
      <c r="U30" s="61">
        <f t="shared" si="3"/>
        <v>3</v>
      </c>
      <c r="V30" s="64" t="s">
        <v>159</v>
      </c>
    </row>
    <row r="31" ht="15.0" customHeight="1">
      <c r="A31" s="52">
        <v>28.0</v>
      </c>
      <c r="B31" s="53" t="s">
        <v>192</v>
      </c>
      <c r="C31" s="54" t="s">
        <v>156</v>
      </c>
      <c r="D31" s="55" t="s">
        <v>149</v>
      </c>
      <c r="E31" s="56" t="s">
        <v>62</v>
      </c>
      <c r="F31" s="56" t="s">
        <v>63</v>
      </c>
      <c r="G31" s="57" t="s">
        <v>57</v>
      </c>
      <c r="H31" s="58">
        <v>1.0</v>
      </c>
      <c r="I31" s="58">
        <v>0.0</v>
      </c>
      <c r="J31" s="59">
        <v>2.0</v>
      </c>
      <c r="K31" s="59">
        <v>1.0</v>
      </c>
      <c r="L31" s="65"/>
      <c r="M31" s="61">
        <f t="shared" si="1"/>
        <v>4</v>
      </c>
      <c r="N31" s="59">
        <v>2.0</v>
      </c>
      <c r="O31" s="59">
        <v>2.0</v>
      </c>
      <c r="P31" s="66"/>
      <c r="Q31" s="61">
        <f t="shared" si="4"/>
        <v>0</v>
      </c>
      <c r="R31" s="59">
        <v>2.0</v>
      </c>
      <c r="S31" s="59">
        <v>2.0</v>
      </c>
      <c r="T31" s="67"/>
      <c r="U31" s="61">
        <f t="shared" si="3"/>
        <v>0</v>
      </c>
      <c r="V31" s="64" t="s">
        <v>152</v>
      </c>
    </row>
    <row r="32" ht="15.0" customHeight="1">
      <c r="A32" s="52">
        <v>29.0</v>
      </c>
      <c r="B32" s="53" t="s">
        <v>193</v>
      </c>
      <c r="C32" s="54" t="s">
        <v>148</v>
      </c>
      <c r="D32" s="55" t="s">
        <v>56</v>
      </c>
      <c r="E32" s="56" t="s">
        <v>77</v>
      </c>
      <c r="F32" s="56" t="s">
        <v>79</v>
      </c>
      <c r="G32" s="57" t="s">
        <v>57</v>
      </c>
      <c r="H32" s="58">
        <v>2.0</v>
      </c>
      <c r="I32" s="58">
        <v>0.0</v>
      </c>
      <c r="J32" s="59">
        <v>2.0</v>
      </c>
      <c r="K32" s="59">
        <v>1.0</v>
      </c>
      <c r="L32" s="65"/>
      <c r="M32" s="61">
        <f t="shared" si="1"/>
        <v>3</v>
      </c>
      <c r="N32" s="59">
        <v>2.0</v>
      </c>
      <c r="O32" s="59">
        <v>1.0</v>
      </c>
      <c r="P32" s="66"/>
      <c r="Q32" s="61">
        <f t="shared" si="4"/>
        <v>3</v>
      </c>
      <c r="R32" s="59">
        <v>2.0</v>
      </c>
      <c r="S32" s="59">
        <v>1.0</v>
      </c>
      <c r="T32" s="67"/>
      <c r="U32" s="61">
        <f t="shared" si="3"/>
        <v>3</v>
      </c>
      <c r="V32" s="64" t="s">
        <v>183</v>
      </c>
    </row>
    <row r="33" ht="15.0" customHeight="1">
      <c r="A33" s="52">
        <v>30.0</v>
      </c>
      <c r="B33" s="53" t="s">
        <v>193</v>
      </c>
      <c r="C33" s="54" t="s">
        <v>184</v>
      </c>
      <c r="D33" s="55" t="s">
        <v>164</v>
      </c>
      <c r="E33" s="56" t="s">
        <v>74</v>
      </c>
      <c r="F33" s="56" t="s">
        <v>73</v>
      </c>
      <c r="G33" s="57" t="s">
        <v>57</v>
      </c>
      <c r="H33" s="58">
        <v>0.0</v>
      </c>
      <c r="I33" s="58">
        <v>1.0</v>
      </c>
      <c r="J33" s="59">
        <v>1.0</v>
      </c>
      <c r="K33" s="59">
        <v>2.0</v>
      </c>
      <c r="L33" s="65"/>
      <c r="M33" s="61">
        <f t="shared" si="1"/>
        <v>4</v>
      </c>
      <c r="N33" s="59">
        <v>1.0</v>
      </c>
      <c r="O33" s="59">
        <v>2.0</v>
      </c>
      <c r="P33" s="66"/>
      <c r="Q33" s="61">
        <f t="shared" si="4"/>
        <v>4</v>
      </c>
      <c r="R33" s="59">
        <v>1.0</v>
      </c>
      <c r="S33" s="59">
        <v>2.0</v>
      </c>
      <c r="T33" s="67"/>
      <c r="U33" s="61">
        <f t="shared" si="3"/>
        <v>4</v>
      </c>
      <c r="V33" s="64" t="s">
        <v>166</v>
      </c>
    </row>
    <row r="34" ht="15.0" customHeight="1">
      <c r="A34" s="52">
        <v>31.0</v>
      </c>
      <c r="B34" s="53" t="s">
        <v>193</v>
      </c>
      <c r="C34" s="54" t="s">
        <v>194</v>
      </c>
      <c r="D34" s="55" t="s">
        <v>164</v>
      </c>
      <c r="E34" s="56" t="s">
        <v>72</v>
      </c>
      <c r="F34" s="56" t="s">
        <v>75</v>
      </c>
      <c r="G34" s="57" t="s">
        <v>57</v>
      </c>
      <c r="H34" s="58">
        <v>3.0</v>
      </c>
      <c r="I34" s="58">
        <v>0.0</v>
      </c>
      <c r="J34" s="59">
        <v>3.0</v>
      </c>
      <c r="K34" s="59">
        <v>0.0</v>
      </c>
      <c r="L34" s="60" t="s">
        <v>170</v>
      </c>
      <c r="M34" s="61">
        <f t="shared" si="1"/>
        <v>10</v>
      </c>
      <c r="N34" s="59">
        <v>3.0</v>
      </c>
      <c r="O34" s="59">
        <v>0.0</v>
      </c>
      <c r="P34" s="62" t="s">
        <v>170</v>
      </c>
      <c r="Q34" s="61">
        <f t="shared" si="4"/>
        <v>10</v>
      </c>
      <c r="R34" s="59">
        <v>3.0</v>
      </c>
      <c r="S34" s="59">
        <v>0.0</v>
      </c>
      <c r="T34" s="67"/>
      <c r="U34" s="61">
        <f t="shared" si="3"/>
        <v>5</v>
      </c>
      <c r="V34" s="64" t="s">
        <v>176</v>
      </c>
    </row>
    <row r="35" ht="15.0" customHeight="1">
      <c r="A35" s="52">
        <v>32.0</v>
      </c>
      <c r="B35" s="53" t="s">
        <v>193</v>
      </c>
      <c r="C35" s="54" t="s">
        <v>195</v>
      </c>
      <c r="D35" s="55" t="s">
        <v>56</v>
      </c>
      <c r="E35" s="56" t="s">
        <v>80</v>
      </c>
      <c r="F35" s="56" t="s">
        <v>78</v>
      </c>
      <c r="G35" s="57" t="s">
        <v>57</v>
      </c>
      <c r="H35" s="58">
        <v>0.0</v>
      </c>
      <c r="I35" s="58">
        <v>1.0</v>
      </c>
      <c r="J35" s="59">
        <v>2.0</v>
      </c>
      <c r="K35" s="59">
        <v>1.0</v>
      </c>
      <c r="L35" s="65"/>
      <c r="M35" s="61">
        <f t="shared" si="1"/>
        <v>0</v>
      </c>
      <c r="N35" s="59">
        <v>2.0</v>
      </c>
      <c r="O35" s="59">
        <v>1.0</v>
      </c>
      <c r="P35" s="66"/>
      <c r="Q35" s="61">
        <f t="shared" si="4"/>
        <v>0</v>
      </c>
      <c r="R35" s="59">
        <v>1.0</v>
      </c>
      <c r="S35" s="59">
        <v>0.0</v>
      </c>
      <c r="T35" s="67"/>
      <c r="U35" s="61">
        <f t="shared" si="3"/>
        <v>0</v>
      </c>
      <c r="V35" s="64" t="s">
        <v>162</v>
      </c>
    </row>
    <row r="36" ht="15.0" customHeight="1">
      <c r="A36" s="52">
        <v>33.0</v>
      </c>
      <c r="B36" s="53" t="s">
        <v>193</v>
      </c>
      <c r="C36" s="54" t="s">
        <v>158</v>
      </c>
      <c r="D36" s="55" t="s">
        <v>173</v>
      </c>
      <c r="E36" s="56" t="s">
        <v>89</v>
      </c>
      <c r="F36" s="56" t="s">
        <v>88</v>
      </c>
      <c r="G36" s="57" t="s">
        <v>57</v>
      </c>
      <c r="H36" s="58">
        <v>0.0</v>
      </c>
      <c r="I36" s="58">
        <v>4.0</v>
      </c>
      <c r="J36" s="59">
        <v>0.0</v>
      </c>
      <c r="K36" s="59">
        <v>3.0</v>
      </c>
      <c r="L36" s="65"/>
      <c r="M36" s="61">
        <f t="shared" si="1"/>
        <v>3</v>
      </c>
      <c r="N36" s="59">
        <v>0.0</v>
      </c>
      <c r="O36" s="59">
        <v>2.0</v>
      </c>
      <c r="P36" s="66"/>
      <c r="Q36" s="61">
        <f t="shared" si="4"/>
        <v>3</v>
      </c>
      <c r="R36" s="59">
        <v>0.0</v>
      </c>
      <c r="S36" s="59">
        <v>2.0</v>
      </c>
      <c r="T36" s="67"/>
      <c r="U36" s="61">
        <f t="shared" si="3"/>
        <v>3</v>
      </c>
      <c r="V36" s="64" t="s">
        <v>177</v>
      </c>
    </row>
    <row r="37" ht="15.0" customHeight="1">
      <c r="A37" s="52">
        <v>34.0</v>
      </c>
      <c r="B37" s="53" t="s">
        <v>196</v>
      </c>
      <c r="C37" s="54" t="s">
        <v>168</v>
      </c>
      <c r="D37" s="55" t="s">
        <v>173</v>
      </c>
      <c r="E37" s="56" t="s">
        <v>87</v>
      </c>
      <c r="F37" s="56" t="s">
        <v>90</v>
      </c>
      <c r="G37" s="57" t="s">
        <v>57</v>
      </c>
      <c r="H37" s="58">
        <v>5.0</v>
      </c>
      <c r="I37" s="58">
        <v>1.0</v>
      </c>
      <c r="J37" s="59">
        <v>2.0</v>
      </c>
      <c r="K37" s="59">
        <v>1.0</v>
      </c>
      <c r="L37" s="65"/>
      <c r="M37" s="61">
        <f t="shared" si="1"/>
        <v>3</v>
      </c>
      <c r="N37" s="59">
        <v>2.0</v>
      </c>
      <c r="O37" s="59">
        <v>2.0</v>
      </c>
      <c r="P37" s="66"/>
      <c r="Q37" s="61">
        <f t="shared" si="4"/>
        <v>0</v>
      </c>
      <c r="R37" s="59">
        <v>2.0</v>
      </c>
      <c r="S37" s="59">
        <v>2.0</v>
      </c>
      <c r="T37" s="67"/>
      <c r="U37" s="61">
        <f t="shared" si="3"/>
        <v>0</v>
      </c>
      <c r="V37" s="64" t="s">
        <v>171</v>
      </c>
    </row>
    <row r="38" ht="15.0" customHeight="1">
      <c r="A38" s="52">
        <v>35.0</v>
      </c>
      <c r="B38" s="53" t="s">
        <v>196</v>
      </c>
      <c r="C38" s="54" t="s">
        <v>172</v>
      </c>
      <c r="D38" s="55" t="s">
        <v>169</v>
      </c>
      <c r="E38" s="56" t="s">
        <v>82</v>
      </c>
      <c r="F38" s="56" t="s">
        <v>84</v>
      </c>
      <c r="G38" s="57" t="s">
        <v>57</v>
      </c>
      <c r="H38" s="58">
        <v>2.0</v>
      </c>
      <c r="I38" s="58">
        <v>1.0</v>
      </c>
      <c r="J38" s="59">
        <v>3.0</v>
      </c>
      <c r="K38" s="59">
        <v>1.0</v>
      </c>
      <c r="L38" s="65"/>
      <c r="M38" s="61">
        <f t="shared" si="1"/>
        <v>3</v>
      </c>
      <c r="N38" s="59">
        <v>2.0</v>
      </c>
      <c r="O38" s="59">
        <v>1.0</v>
      </c>
      <c r="P38" s="66"/>
      <c r="Q38" s="61">
        <f t="shared" si="4"/>
        <v>5</v>
      </c>
      <c r="R38" s="59">
        <v>3.0</v>
      </c>
      <c r="S38" s="59">
        <v>2.0</v>
      </c>
      <c r="T38" s="67"/>
      <c r="U38" s="61">
        <f t="shared" si="3"/>
        <v>4</v>
      </c>
      <c r="V38" s="64" t="s">
        <v>155</v>
      </c>
    </row>
    <row r="39" ht="15.0" customHeight="1">
      <c r="A39" s="52">
        <v>36.0</v>
      </c>
      <c r="B39" s="53" t="s">
        <v>196</v>
      </c>
      <c r="C39" s="54" t="s">
        <v>197</v>
      </c>
      <c r="D39" s="55" t="s">
        <v>169</v>
      </c>
      <c r="E39" s="56" t="s">
        <v>85</v>
      </c>
      <c r="F39" s="56" t="s">
        <v>83</v>
      </c>
      <c r="G39" s="57" t="s">
        <v>57</v>
      </c>
      <c r="H39" s="58">
        <v>0.0</v>
      </c>
      <c r="I39" s="58">
        <v>0.0</v>
      </c>
      <c r="J39" s="59">
        <v>3.0</v>
      </c>
      <c r="K39" s="59">
        <v>1.0</v>
      </c>
      <c r="L39" s="65"/>
      <c r="M39" s="61">
        <f t="shared" si="1"/>
        <v>0</v>
      </c>
      <c r="N39" s="59">
        <v>3.0</v>
      </c>
      <c r="O39" s="59">
        <v>2.0</v>
      </c>
      <c r="P39" s="66"/>
      <c r="Q39" s="61">
        <f t="shared" si="4"/>
        <v>0</v>
      </c>
      <c r="R39" s="59">
        <v>3.0</v>
      </c>
      <c r="S39" s="59">
        <v>0.0</v>
      </c>
      <c r="T39" s="67"/>
      <c r="U39" s="61">
        <f t="shared" si="3"/>
        <v>0</v>
      </c>
      <c r="V39" s="64" t="s">
        <v>189</v>
      </c>
    </row>
    <row r="40" ht="15.0" customHeight="1">
      <c r="A40" s="52">
        <v>37.0</v>
      </c>
      <c r="B40" s="53" t="s">
        <v>198</v>
      </c>
      <c r="C40" s="54" t="s">
        <v>179</v>
      </c>
      <c r="D40" s="55" t="s">
        <v>180</v>
      </c>
      <c r="E40" s="56" t="s">
        <v>97</v>
      </c>
      <c r="F40" s="56" t="s">
        <v>99</v>
      </c>
      <c r="G40" s="57" t="s">
        <v>57</v>
      </c>
      <c r="H40" s="58">
        <v>5.0</v>
      </c>
      <c r="I40" s="58">
        <v>0.0</v>
      </c>
      <c r="J40" s="59">
        <v>3.0</v>
      </c>
      <c r="K40" s="59">
        <v>0.0</v>
      </c>
      <c r="L40" s="60" t="s">
        <v>170</v>
      </c>
      <c r="M40" s="61">
        <f t="shared" si="1"/>
        <v>6</v>
      </c>
      <c r="N40" s="59">
        <v>2.0</v>
      </c>
      <c r="O40" s="59">
        <v>0.0</v>
      </c>
      <c r="P40" s="62" t="s">
        <v>170</v>
      </c>
      <c r="Q40" s="61">
        <f t="shared" si="4"/>
        <v>6</v>
      </c>
      <c r="R40" s="59">
        <v>3.0</v>
      </c>
      <c r="S40" s="59">
        <v>0.0</v>
      </c>
      <c r="T40" s="67"/>
      <c r="U40" s="61">
        <f t="shared" si="3"/>
        <v>3</v>
      </c>
      <c r="V40" s="64" t="s">
        <v>181</v>
      </c>
    </row>
    <row r="41" ht="15.0" customHeight="1">
      <c r="A41" s="29">
        <v>38.0</v>
      </c>
      <c r="B41" s="30" t="s">
        <v>198</v>
      </c>
      <c r="C41" s="31" t="s">
        <v>148</v>
      </c>
      <c r="D41" s="32" t="s">
        <v>182</v>
      </c>
      <c r="E41" s="33" t="s">
        <v>92</v>
      </c>
      <c r="F41" s="33" t="s">
        <v>94</v>
      </c>
      <c r="G41" s="69"/>
      <c r="H41" s="70"/>
      <c r="I41" s="70"/>
      <c r="J41" s="36">
        <v>2.0</v>
      </c>
      <c r="K41" s="36">
        <v>0.0</v>
      </c>
      <c r="L41" s="37"/>
      <c r="M41" s="38" t="str">
        <f t="shared" si="1"/>
        <v/>
      </c>
      <c r="N41" s="39">
        <v>3.0</v>
      </c>
      <c r="O41" s="39">
        <v>1.0</v>
      </c>
      <c r="P41" s="40"/>
      <c r="Q41" s="38" t="str">
        <f t="shared" si="4"/>
        <v/>
      </c>
      <c r="R41" s="41">
        <v>2.0</v>
      </c>
      <c r="S41" s="41">
        <v>0.0</v>
      </c>
      <c r="T41" s="42"/>
      <c r="U41" s="38" t="str">
        <f t="shared" si="3"/>
        <v/>
      </c>
      <c r="V41" s="43" t="s">
        <v>157</v>
      </c>
    </row>
    <row r="42" ht="15.0" customHeight="1">
      <c r="A42" s="29">
        <v>39.0</v>
      </c>
      <c r="B42" s="30" t="s">
        <v>198</v>
      </c>
      <c r="C42" s="31" t="s">
        <v>184</v>
      </c>
      <c r="D42" s="32" t="s">
        <v>180</v>
      </c>
      <c r="E42" s="33" t="s">
        <v>100</v>
      </c>
      <c r="F42" s="33" t="s">
        <v>98</v>
      </c>
      <c r="G42" s="69"/>
      <c r="H42" s="70"/>
      <c r="I42" s="70"/>
      <c r="J42" s="36">
        <v>1.0</v>
      </c>
      <c r="K42" s="36">
        <v>0.0</v>
      </c>
      <c r="L42" s="37"/>
      <c r="M42" s="38" t="str">
        <f t="shared" si="1"/>
        <v/>
      </c>
      <c r="N42" s="39">
        <v>2.0</v>
      </c>
      <c r="O42" s="39">
        <v>0.0</v>
      </c>
      <c r="P42" s="40"/>
      <c r="Q42" s="38" t="str">
        <f t="shared" si="4"/>
        <v/>
      </c>
      <c r="R42" s="41">
        <v>1.0</v>
      </c>
      <c r="S42" s="41">
        <v>0.0</v>
      </c>
      <c r="T42" s="42"/>
      <c r="U42" s="38" t="str">
        <f t="shared" si="3"/>
        <v/>
      </c>
      <c r="V42" s="43" t="s">
        <v>185</v>
      </c>
    </row>
    <row r="43" ht="15.0" customHeight="1">
      <c r="A43" s="29">
        <v>40.0</v>
      </c>
      <c r="B43" s="30" t="s">
        <v>198</v>
      </c>
      <c r="C43" s="31" t="s">
        <v>156</v>
      </c>
      <c r="D43" s="32" t="s">
        <v>182</v>
      </c>
      <c r="E43" s="33" t="s">
        <v>95</v>
      </c>
      <c r="F43" s="33" t="s">
        <v>93</v>
      </c>
      <c r="G43" s="69"/>
      <c r="H43" s="70"/>
      <c r="I43" s="70"/>
      <c r="J43" s="36">
        <v>1.0</v>
      </c>
      <c r="K43" s="36">
        <v>2.0</v>
      </c>
      <c r="L43" s="37"/>
      <c r="M43" s="38" t="str">
        <f t="shared" si="1"/>
        <v/>
      </c>
      <c r="N43" s="39">
        <v>1.0</v>
      </c>
      <c r="O43" s="39">
        <v>3.0</v>
      </c>
      <c r="P43" s="40"/>
      <c r="Q43" s="38" t="str">
        <f t="shared" si="4"/>
        <v/>
      </c>
      <c r="R43" s="41">
        <v>1.0</v>
      </c>
      <c r="S43" s="41">
        <v>2.0</v>
      </c>
      <c r="T43" s="42"/>
      <c r="U43" s="38" t="str">
        <f t="shared" si="3"/>
        <v/>
      </c>
      <c r="V43" s="43" t="s">
        <v>159</v>
      </c>
    </row>
    <row r="44" ht="15.0" customHeight="1">
      <c r="A44" s="44">
        <v>41.0</v>
      </c>
      <c r="B44" s="45" t="s">
        <v>199</v>
      </c>
      <c r="C44" s="46" t="s">
        <v>168</v>
      </c>
      <c r="D44" s="47" t="s">
        <v>170</v>
      </c>
      <c r="E44" s="48" t="s">
        <v>107</v>
      </c>
      <c r="F44" s="48" t="s">
        <v>109</v>
      </c>
      <c r="G44" s="71"/>
      <c r="H44" s="70"/>
      <c r="I44" s="70"/>
      <c r="J44" s="72"/>
      <c r="K44" s="72"/>
      <c r="L44" s="37"/>
      <c r="M44" s="38" t="str">
        <f t="shared" si="1"/>
        <v/>
      </c>
      <c r="N44" s="73"/>
      <c r="O44" s="73"/>
      <c r="P44" s="40"/>
      <c r="Q44" s="38" t="str">
        <f t="shared" si="4"/>
        <v/>
      </c>
      <c r="R44" s="74"/>
      <c r="S44" s="74"/>
      <c r="T44" s="42"/>
      <c r="U44" s="38" t="str">
        <f t="shared" si="3"/>
        <v/>
      </c>
      <c r="V44" s="51" t="s">
        <v>174</v>
      </c>
    </row>
    <row r="45" ht="15.0" customHeight="1">
      <c r="A45" s="44">
        <v>42.0</v>
      </c>
      <c r="B45" s="45" t="s">
        <v>199</v>
      </c>
      <c r="C45" s="46" t="s">
        <v>163</v>
      </c>
      <c r="D45" s="47" t="s">
        <v>187</v>
      </c>
      <c r="E45" s="48" t="s">
        <v>102</v>
      </c>
      <c r="F45" s="48" t="s">
        <v>105</v>
      </c>
      <c r="G45" s="71"/>
      <c r="H45" s="70"/>
      <c r="I45" s="70"/>
      <c r="J45" s="72"/>
      <c r="K45" s="72"/>
      <c r="L45" s="37"/>
      <c r="M45" s="38" t="str">
        <f t="shared" si="1"/>
        <v/>
      </c>
      <c r="N45" s="73"/>
      <c r="O45" s="73"/>
      <c r="P45" s="40"/>
      <c r="Q45" s="38" t="str">
        <f t="shared" si="4"/>
        <v/>
      </c>
      <c r="R45" s="74"/>
      <c r="S45" s="74"/>
      <c r="T45" s="42"/>
      <c r="U45" s="38" t="str">
        <f t="shared" si="3"/>
        <v/>
      </c>
      <c r="V45" s="51" t="s">
        <v>176</v>
      </c>
    </row>
    <row r="46" ht="15.0" customHeight="1">
      <c r="A46" s="44">
        <v>43.0</v>
      </c>
      <c r="B46" s="45" t="s">
        <v>199</v>
      </c>
      <c r="C46" s="46" t="s">
        <v>197</v>
      </c>
      <c r="D46" s="47" t="s">
        <v>187</v>
      </c>
      <c r="E46" s="48" t="s">
        <v>104</v>
      </c>
      <c r="F46" s="48" t="s">
        <v>103</v>
      </c>
      <c r="G46" s="71"/>
      <c r="H46" s="70"/>
      <c r="I46" s="70"/>
      <c r="J46" s="72"/>
      <c r="K46" s="72"/>
      <c r="L46" s="37"/>
      <c r="M46" s="38" t="str">
        <f t="shared" si="1"/>
        <v/>
      </c>
      <c r="N46" s="73"/>
      <c r="O46" s="73"/>
      <c r="P46" s="40"/>
      <c r="Q46" s="38" t="str">
        <f t="shared" si="4"/>
        <v/>
      </c>
      <c r="R46" s="74"/>
      <c r="S46" s="74"/>
      <c r="T46" s="42"/>
      <c r="U46" s="38" t="str">
        <f t="shared" si="3"/>
        <v/>
      </c>
      <c r="V46" s="51" t="s">
        <v>165</v>
      </c>
    </row>
    <row r="47" ht="15.0" customHeight="1">
      <c r="A47" s="44">
        <v>44.0</v>
      </c>
      <c r="B47" s="45" t="s">
        <v>199</v>
      </c>
      <c r="C47" s="46" t="s">
        <v>195</v>
      </c>
      <c r="D47" s="47" t="s">
        <v>170</v>
      </c>
      <c r="E47" s="48" t="s">
        <v>110</v>
      </c>
      <c r="F47" s="48" t="s">
        <v>108</v>
      </c>
      <c r="G47" s="71"/>
      <c r="H47" s="70"/>
      <c r="I47" s="70"/>
      <c r="J47" s="72"/>
      <c r="K47" s="72"/>
      <c r="L47" s="37"/>
      <c r="M47" s="38" t="str">
        <f t="shared" si="1"/>
        <v/>
      </c>
      <c r="N47" s="73"/>
      <c r="O47" s="73"/>
      <c r="P47" s="40"/>
      <c r="Q47" s="38" t="str">
        <f t="shared" si="4"/>
        <v/>
      </c>
      <c r="R47" s="74"/>
      <c r="S47" s="74"/>
      <c r="T47" s="42"/>
      <c r="U47" s="38" t="str">
        <f t="shared" si="3"/>
        <v/>
      </c>
      <c r="V47" s="51" t="s">
        <v>162</v>
      </c>
    </row>
    <row r="48" ht="15.0" customHeight="1">
      <c r="A48" s="29">
        <v>45.0</v>
      </c>
      <c r="B48" s="30" t="s">
        <v>200</v>
      </c>
      <c r="C48" s="31" t="s">
        <v>168</v>
      </c>
      <c r="D48" s="32" t="s">
        <v>191</v>
      </c>
      <c r="E48" s="33" t="s">
        <v>112</v>
      </c>
      <c r="F48" s="33" t="s">
        <v>114</v>
      </c>
      <c r="G48" s="69"/>
      <c r="H48" s="70"/>
      <c r="I48" s="70"/>
      <c r="J48" s="72"/>
      <c r="K48" s="72"/>
      <c r="L48" s="37"/>
      <c r="M48" s="38" t="str">
        <f t="shared" si="1"/>
        <v/>
      </c>
      <c r="N48" s="73"/>
      <c r="O48" s="73"/>
      <c r="P48" s="40"/>
      <c r="Q48" s="38" t="str">
        <f t="shared" si="4"/>
        <v/>
      </c>
      <c r="R48" s="74"/>
      <c r="S48" s="74"/>
      <c r="T48" s="42"/>
      <c r="U48" s="38" t="str">
        <f t="shared" si="3"/>
        <v/>
      </c>
      <c r="V48" s="43" t="s">
        <v>171</v>
      </c>
    </row>
    <row r="49" ht="15.0" customHeight="1">
      <c r="A49" s="29">
        <v>46.0</v>
      </c>
      <c r="B49" s="30" t="s">
        <v>200</v>
      </c>
      <c r="C49" s="31" t="s">
        <v>172</v>
      </c>
      <c r="D49" s="32" t="s">
        <v>57</v>
      </c>
      <c r="E49" s="33" t="s">
        <v>117</v>
      </c>
      <c r="F49" s="33" t="s">
        <v>120</v>
      </c>
      <c r="G49" s="69"/>
      <c r="H49" s="70"/>
      <c r="I49" s="70"/>
      <c r="J49" s="72"/>
      <c r="K49" s="72"/>
      <c r="L49" s="37"/>
      <c r="M49" s="38" t="str">
        <f t="shared" si="1"/>
        <v/>
      </c>
      <c r="N49" s="73"/>
      <c r="O49" s="73"/>
      <c r="P49" s="40"/>
      <c r="Q49" s="38" t="str">
        <f t="shared" si="4"/>
        <v/>
      </c>
      <c r="R49" s="74"/>
      <c r="S49" s="74"/>
      <c r="T49" s="42"/>
      <c r="U49" s="38" t="str">
        <f t="shared" si="3"/>
        <v/>
      </c>
      <c r="V49" s="43" t="s">
        <v>188</v>
      </c>
    </row>
    <row r="50" ht="15.0" customHeight="1">
      <c r="A50" s="29">
        <v>47.0</v>
      </c>
      <c r="B50" s="30" t="s">
        <v>200</v>
      </c>
      <c r="C50" s="31" t="s">
        <v>175</v>
      </c>
      <c r="D50" s="32" t="s">
        <v>57</v>
      </c>
      <c r="E50" s="33" t="s">
        <v>119</v>
      </c>
      <c r="F50" s="33" t="s">
        <v>118</v>
      </c>
      <c r="G50" s="69"/>
      <c r="H50" s="70"/>
      <c r="I50" s="70"/>
      <c r="J50" s="72"/>
      <c r="K50" s="72"/>
      <c r="L50" s="37"/>
      <c r="M50" s="38" t="str">
        <f t="shared" si="1"/>
        <v/>
      </c>
      <c r="N50" s="73"/>
      <c r="O50" s="73"/>
      <c r="P50" s="40"/>
      <c r="Q50" s="38" t="str">
        <f t="shared" si="4"/>
        <v/>
      </c>
      <c r="R50" s="74"/>
      <c r="S50" s="74"/>
      <c r="T50" s="42"/>
      <c r="U50" s="38" t="str">
        <f t="shared" si="3"/>
        <v/>
      </c>
      <c r="V50" s="43" t="s">
        <v>155</v>
      </c>
    </row>
    <row r="51" ht="15.0" customHeight="1">
      <c r="A51" s="29">
        <v>48.0</v>
      </c>
      <c r="B51" s="30" t="s">
        <v>200</v>
      </c>
      <c r="C51" s="31" t="s">
        <v>151</v>
      </c>
      <c r="D51" s="32" t="s">
        <v>191</v>
      </c>
      <c r="E51" s="33" t="s">
        <v>115</v>
      </c>
      <c r="F51" s="33" t="s">
        <v>113</v>
      </c>
      <c r="G51" s="69"/>
      <c r="H51" s="70"/>
      <c r="I51" s="70"/>
      <c r="J51" s="72"/>
      <c r="K51" s="72"/>
      <c r="L51" s="37"/>
      <c r="M51" s="38" t="str">
        <f t="shared" si="1"/>
        <v/>
      </c>
      <c r="N51" s="73"/>
      <c r="O51" s="73"/>
      <c r="P51" s="40"/>
      <c r="Q51" s="38" t="str">
        <f t="shared" si="4"/>
        <v/>
      </c>
      <c r="R51" s="74"/>
      <c r="S51" s="74"/>
      <c r="T51" s="42"/>
      <c r="U51" s="38" t="str">
        <f t="shared" si="3"/>
        <v/>
      </c>
      <c r="V51" s="43" t="s">
        <v>152</v>
      </c>
    </row>
    <row r="52" ht="15.0" customHeight="1">
      <c r="A52" s="44">
        <v>49.0</v>
      </c>
      <c r="B52" s="45" t="s">
        <v>201</v>
      </c>
      <c r="C52" s="46" t="s">
        <v>148</v>
      </c>
      <c r="D52" s="47" t="s">
        <v>154</v>
      </c>
      <c r="E52" s="48" t="s">
        <v>70</v>
      </c>
      <c r="F52" s="48" t="s">
        <v>67</v>
      </c>
      <c r="G52" s="71"/>
      <c r="H52" s="70"/>
      <c r="I52" s="70"/>
      <c r="J52" s="72"/>
      <c r="K52" s="72"/>
      <c r="L52" s="37"/>
      <c r="M52" s="38" t="str">
        <f t="shared" si="1"/>
        <v/>
      </c>
      <c r="N52" s="73"/>
      <c r="O52" s="73"/>
      <c r="P52" s="40"/>
      <c r="Q52" s="38" t="str">
        <f t="shared" si="4"/>
        <v/>
      </c>
      <c r="R52" s="74"/>
      <c r="S52" s="74"/>
      <c r="T52" s="42"/>
      <c r="U52" s="38" t="str">
        <f t="shared" si="3"/>
        <v/>
      </c>
      <c r="V52" s="51" t="s">
        <v>159</v>
      </c>
    </row>
    <row r="53" ht="15.0" customHeight="1">
      <c r="A53" s="44">
        <v>50.0</v>
      </c>
      <c r="B53" s="45" t="s">
        <v>201</v>
      </c>
      <c r="C53" s="46" t="s">
        <v>148</v>
      </c>
      <c r="D53" s="47" t="s">
        <v>154</v>
      </c>
      <c r="E53" s="48" t="s">
        <v>68</v>
      </c>
      <c r="F53" s="48" t="s">
        <v>69</v>
      </c>
      <c r="G53" s="71"/>
      <c r="H53" s="70"/>
      <c r="I53" s="70"/>
      <c r="J53" s="72"/>
      <c r="K53" s="72"/>
      <c r="L53" s="37"/>
      <c r="M53" s="38" t="str">
        <f t="shared" si="1"/>
        <v/>
      </c>
      <c r="N53" s="73"/>
      <c r="O53" s="73"/>
      <c r="P53" s="40"/>
      <c r="Q53" s="38" t="str">
        <f t="shared" si="4"/>
        <v/>
      </c>
      <c r="R53" s="74"/>
      <c r="S53" s="74"/>
      <c r="T53" s="42"/>
      <c r="U53" s="38" t="str">
        <f t="shared" si="3"/>
        <v/>
      </c>
      <c r="V53" s="51" t="s">
        <v>183</v>
      </c>
    </row>
    <row r="54" ht="15.0" customHeight="1">
      <c r="A54" s="44">
        <v>51.0</v>
      </c>
      <c r="B54" s="45" t="s">
        <v>201</v>
      </c>
      <c r="C54" s="46" t="s">
        <v>184</v>
      </c>
      <c r="D54" s="47" t="s">
        <v>164</v>
      </c>
      <c r="E54" s="48" t="s">
        <v>74</v>
      </c>
      <c r="F54" s="48" t="s">
        <v>72</v>
      </c>
      <c r="G54" s="71"/>
      <c r="H54" s="70"/>
      <c r="I54" s="70"/>
      <c r="J54" s="72"/>
      <c r="K54" s="72"/>
      <c r="L54" s="37"/>
      <c r="M54" s="38" t="str">
        <f t="shared" si="1"/>
        <v/>
      </c>
      <c r="N54" s="73"/>
      <c r="O54" s="73"/>
      <c r="P54" s="40"/>
      <c r="Q54" s="38" t="str">
        <f t="shared" si="4"/>
        <v/>
      </c>
      <c r="R54" s="74"/>
      <c r="S54" s="74"/>
      <c r="T54" s="42"/>
      <c r="U54" s="38" t="str">
        <f t="shared" si="3"/>
        <v/>
      </c>
      <c r="V54" s="51" t="s">
        <v>185</v>
      </c>
    </row>
    <row r="55" ht="15.0" customHeight="1">
      <c r="A55" s="44">
        <v>52.0</v>
      </c>
      <c r="B55" s="45" t="s">
        <v>201</v>
      </c>
      <c r="C55" s="46" t="s">
        <v>184</v>
      </c>
      <c r="D55" s="47" t="s">
        <v>164</v>
      </c>
      <c r="E55" s="48" t="s">
        <v>73</v>
      </c>
      <c r="F55" s="48" t="s">
        <v>75</v>
      </c>
      <c r="G55" s="71"/>
      <c r="H55" s="70"/>
      <c r="I55" s="70"/>
      <c r="J55" s="72"/>
      <c r="K55" s="72"/>
      <c r="L55" s="37"/>
      <c r="M55" s="38" t="str">
        <f t="shared" si="1"/>
        <v/>
      </c>
      <c r="N55" s="73"/>
      <c r="O55" s="73"/>
      <c r="P55" s="40"/>
      <c r="Q55" s="38" t="str">
        <f t="shared" si="4"/>
        <v/>
      </c>
      <c r="R55" s="74"/>
      <c r="S55" s="74"/>
      <c r="T55" s="42"/>
      <c r="U55" s="38" t="str">
        <f t="shared" si="3"/>
        <v/>
      </c>
      <c r="V55" s="51" t="s">
        <v>181</v>
      </c>
    </row>
    <row r="56" ht="15.0" customHeight="1">
      <c r="A56" s="44">
        <v>53.0</v>
      </c>
      <c r="B56" s="45" t="s">
        <v>201</v>
      </c>
      <c r="C56" s="46" t="s">
        <v>156</v>
      </c>
      <c r="D56" s="47" t="s">
        <v>149</v>
      </c>
      <c r="E56" s="48" t="s">
        <v>64</v>
      </c>
      <c r="F56" s="48" t="s">
        <v>62</v>
      </c>
      <c r="G56" s="71"/>
      <c r="H56" s="70"/>
      <c r="I56" s="70"/>
      <c r="J56" s="72"/>
      <c r="K56" s="72"/>
      <c r="L56" s="37"/>
      <c r="M56" s="38" t="str">
        <f t="shared" si="1"/>
        <v/>
      </c>
      <c r="N56" s="73"/>
      <c r="O56" s="73"/>
      <c r="P56" s="40"/>
      <c r="Q56" s="38" t="str">
        <f t="shared" si="4"/>
        <v/>
      </c>
      <c r="R56" s="74"/>
      <c r="S56" s="74"/>
      <c r="T56" s="42"/>
      <c r="U56" s="38" t="str">
        <f t="shared" si="3"/>
        <v/>
      </c>
      <c r="V56" s="51" t="s">
        <v>150</v>
      </c>
    </row>
    <row r="57" ht="15.0" customHeight="1">
      <c r="A57" s="44">
        <v>54.0</v>
      </c>
      <c r="B57" s="45" t="s">
        <v>201</v>
      </c>
      <c r="C57" s="46" t="s">
        <v>156</v>
      </c>
      <c r="D57" s="47" t="s">
        <v>149</v>
      </c>
      <c r="E57" s="48" t="s">
        <v>65</v>
      </c>
      <c r="F57" s="48" t="s">
        <v>63</v>
      </c>
      <c r="G57" s="71"/>
      <c r="H57" s="70"/>
      <c r="I57" s="70"/>
      <c r="J57" s="72"/>
      <c r="K57" s="72"/>
      <c r="L57" s="37"/>
      <c r="M57" s="38" t="str">
        <f t="shared" si="1"/>
        <v/>
      </c>
      <c r="N57" s="73"/>
      <c r="O57" s="73"/>
      <c r="P57" s="40"/>
      <c r="Q57" s="38" t="str">
        <f t="shared" si="4"/>
        <v/>
      </c>
      <c r="R57" s="74"/>
      <c r="S57" s="74"/>
      <c r="T57" s="42"/>
      <c r="U57" s="38" t="str">
        <f t="shared" si="3"/>
        <v/>
      </c>
      <c r="V57" s="51" t="s">
        <v>177</v>
      </c>
    </row>
    <row r="58" ht="15.0" customHeight="1">
      <c r="A58" s="29">
        <v>55.0</v>
      </c>
      <c r="B58" s="30" t="s">
        <v>202</v>
      </c>
      <c r="C58" s="31" t="s">
        <v>172</v>
      </c>
      <c r="D58" s="32" t="s">
        <v>169</v>
      </c>
      <c r="E58" s="33" t="s">
        <v>83</v>
      </c>
      <c r="F58" s="33" t="s">
        <v>84</v>
      </c>
      <c r="G58" s="69"/>
      <c r="H58" s="70"/>
      <c r="I58" s="70"/>
      <c r="J58" s="72"/>
      <c r="K58" s="72"/>
      <c r="L58" s="37"/>
      <c r="M58" s="38" t="str">
        <f t="shared" si="1"/>
        <v/>
      </c>
      <c r="N58" s="73"/>
      <c r="O58" s="73"/>
      <c r="P58" s="40"/>
      <c r="Q58" s="38" t="str">
        <f t="shared" si="4"/>
        <v/>
      </c>
      <c r="R58" s="74"/>
      <c r="S58" s="74"/>
      <c r="T58" s="42"/>
      <c r="U58" s="38" t="str">
        <f t="shared" si="3"/>
        <v/>
      </c>
      <c r="V58" s="43" t="s">
        <v>176</v>
      </c>
    </row>
    <row r="59" ht="15.0" customHeight="1">
      <c r="A59" s="29">
        <v>56.0</v>
      </c>
      <c r="B59" s="30" t="s">
        <v>202</v>
      </c>
      <c r="C59" s="31" t="s">
        <v>172</v>
      </c>
      <c r="D59" s="32" t="s">
        <v>169</v>
      </c>
      <c r="E59" s="33" t="s">
        <v>85</v>
      </c>
      <c r="F59" s="33" t="s">
        <v>82</v>
      </c>
      <c r="G59" s="69"/>
      <c r="H59" s="70"/>
      <c r="I59" s="70"/>
      <c r="J59" s="72"/>
      <c r="K59" s="72"/>
      <c r="L59" s="37"/>
      <c r="M59" s="38" t="str">
        <f t="shared" si="1"/>
        <v/>
      </c>
      <c r="N59" s="73"/>
      <c r="O59" s="73"/>
      <c r="P59" s="40"/>
      <c r="Q59" s="38" t="str">
        <f t="shared" si="4"/>
        <v/>
      </c>
      <c r="R59" s="74"/>
      <c r="S59" s="74"/>
      <c r="T59" s="42"/>
      <c r="U59" s="38" t="str">
        <f t="shared" si="3"/>
        <v/>
      </c>
      <c r="V59" s="43" t="s">
        <v>165</v>
      </c>
    </row>
    <row r="60" ht="15.0" customHeight="1">
      <c r="A60" s="29">
        <v>57.0</v>
      </c>
      <c r="B60" s="30" t="s">
        <v>202</v>
      </c>
      <c r="C60" s="31" t="s">
        <v>175</v>
      </c>
      <c r="D60" s="32" t="s">
        <v>173</v>
      </c>
      <c r="E60" s="33" t="s">
        <v>88</v>
      </c>
      <c r="F60" s="33" t="s">
        <v>90</v>
      </c>
      <c r="G60" s="69"/>
      <c r="H60" s="70"/>
      <c r="I60" s="70"/>
      <c r="J60" s="72"/>
      <c r="K60" s="72"/>
      <c r="L60" s="37"/>
      <c r="M60" s="38" t="str">
        <f t="shared" si="1"/>
        <v/>
      </c>
      <c r="N60" s="73"/>
      <c r="O60" s="73"/>
      <c r="P60" s="40"/>
      <c r="Q60" s="38" t="str">
        <f t="shared" si="4"/>
        <v/>
      </c>
      <c r="R60" s="74"/>
      <c r="S60" s="74"/>
      <c r="T60" s="42"/>
      <c r="U60" s="38" t="str">
        <f t="shared" si="3"/>
        <v/>
      </c>
      <c r="V60" s="43" t="s">
        <v>174</v>
      </c>
    </row>
    <row r="61" ht="15.0" customHeight="1">
      <c r="A61" s="29">
        <v>58.0</v>
      </c>
      <c r="B61" s="30" t="s">
        <v>202</v>
      </c>
      <c r="C61" s="31" t="s">
        <v>175</v>
      </c>
      <c r="D61" s="32" t="s">
        <v>173</v>
      </c>
      <c r="E61" s="33" t="s">
        <v>89</v>
      </c>
      <c r="F61" s="33" t="s">
        <v>87</v>
      </c>
      <c r="G61" s="69"/>
      <c r="H61" s="70"/>
      <c r="I61" s="70"/>
      <c r="J61" s="72"/>
      <c r="K61" s="72"/>
      <c r="L61" s="37"/>
      <c r="M61" s="38" t="str">
        <f t="shared" si="1"/>
        <v/>
      </c>
      <c r="N61" s="73"/>
      <c r="O61" s="73"/>
      <c r="P61" s="40"/>
      <c r="Q61" s="38" t="str">
        <f t="shared" si="4"/>
        <v/>
      </c>
      <c r="R61" s="74"/>
      <c r="S61" s="74"/>
      <c r="T61" s="42"/>
      <c r="U61" s="38" t="str">
        <f t="shared" si="3"/>
        <v/>
      </c>
      <c r="V61" s="43" t="s">
        <v>189</v>
      </c>
    </row>
    <row r="62" ht="15.0" customHeight="1">
      <c r="A62" s="29">
        <v>59.0</v>
      </c>
      <c r="B62" s="30" t="s">
        <v>202</v>
      </c>
      <c r="C62" s="31" t="s">
        <v>151</v>
      </c>
      <c r="D62" s="32" t="s">
        <v>56</v>
      </c>
      <c r="E62" s="33" t="s">
        <v>80</v>
      </c>
      <c r="F62" s="33" t="s">
        <v>77</v>
      </c>
      <c r="G62" s="69"/>
      <c r="H62" s="70"/>
      <c r="I62" s="70"/>
      <c r="J62" s="72"/>
      <c r="K62" s="72"/>
      <c r="L62" s="37"/>
      <c r="M62" s="38" t="str">
        <f t="shared" si="1"/>
        <v/>
      </c>
      <c r="N62" s="73"/>
      <c r="O62" s="73"/>
      <c r="P62" s="40"/>
      <c r="Q62" s="38" t="str">
        <f t="shared" si="4"/>
        <v/>
      </c>
      <c r="R62" s="74"/>
      <c r="S62" s="74"/>
      <c r="T62" s="42"/>
      <c r="U62" s="38" t="str">
        <f t="shared" si="3"/>
        <v/>
      </c>
      <c r="V62" s="43" t="s">
        <v>157</v>
      </c>
    </row>
    <row r="63" ht="15.0" customHeight="1">
      <c r="A63" s="29">
        <v>60.0</v>
      </c>
      <c r="B63" s="30" t="s">
        <v>202</v>
      </c>
      <c r="C63" s="31" t="s">
        <v>151</v>
      </c>
      <c r="D63" s="32" t="s">
        <v>56</v>
      </c>
      <c r="E63" s="33" t="s">
        <v>78</v>
      </c>
      <c r="F63" s="33" t="s">
        <v>79</v>
      </c>
      <c r="G63" s="69"/>
      <c r="H63" s="70"/>
      <c r="I63" s="70"/>
      <c r="J63" s="72"/>
      <c r="K63" s="72"/>
      <c r="L63" s="37"/>
      <c r="M63" s="38" t="str">
        <f t="shared" si="1"/>
        <v/>
      </c>
      <c r="N63" s="73"/>
      <c r="O63" s="73"/>
      <c r="P63" s="40"/>
      <c r="Q63" s="38" t="str">
        <f t="shared" si="4"/>
        <v/>
      </c>
      <c r="R63" s="74"/>
      <c r="S63" s="74"/>
      <c r="T63" s="42"/>
      <c r="U63" s="38" t="str">
        <f t="shared" si="3"/>
        <v/>
      </c>
      <c r="V63" s="43" t="s">
        <v>162</v>
      </c>
    </row>
    <row r="64" ht="15.0" customHeight="1">
      <c r="A64" s="44">
        <v>61.0</v>
      </c>
      <c r="B64" s="45" t="s">
        <v>203</v>
      </c>
      <c r="C64" s="46" t="s">
        <v>148</v>
      </c>
      <c r="D64" s="47" t="s">
        <v>187</v>
      </c>
      <c r="E64" s="48" t="s">
        <v>104</v>
      </c>
      <c r="F64" s="48" t="s">
        <v>102</v>
      </c>
      <c r="G64" s="71"/>
      <c r="H64" s="70"/>
      <c r="I64" s="70"/>
      <c r="J64" s="72"/>
      <c r="K64" s="72"/>
      <c r="L64" s="37"/>
      <c r="M64" s="38" t="str">
        <f t="shared" si="1"/>
        <v/>
      </c>
      <c r="N64" s="73"/>
      <c r="O64" s="73"/>
      <c r="P64" s="40"/>
      <c r="Q64" s="38" t="str">
        <f t="shared" si="4"/>
        <v/>
      </c>
      <c r="R64" s="74"/>
      <c r="S64" s="74"/>
      <c r="T64" s="42"/>
      <c r="U64" s="38" t="str">
        <f t="shared" si="3"/>
        <v/>
      </c>
      <c r="V64" s="51" t="s">
        <v>188</v>
      </c>
    </row>
    <row r="65" ht="15.0" customHeight="1">
      <c r="A65" s="44">
        <v>62.0</v>
      </c>
      <c r="B65" s="45" t="s">
        <v>203</v>
      </c>
      <c r="C65" s="46" t="s">
        <v>148</v>
      </c>
      <c r="D65" s="47" t="s">
        <v>187</v>
      </c>
      <c r="E65" s="48" t="s">
        <v>103</v>
      </c>
      <c r="F65" s="48" t="s">
        <v>105</v>
      </c>
      <c r="G65" s="71"/>
      <c r="H65" s="70"/>
      <c r="I65" s="70"/>
      <c r="J65" s="72"/>
      <c r="K65" s="72"/>
      <c r="L65" s="37"/>
      <c r="M65" s="38" t="str">
        <f t="shared" si="1"/>
        <v/>
      </c>
      <c r="N65" s="73"/>
      <c r="O65" s="73"/>
      <c r="P65" s="40"/>
      <c r="Q65" s="38" t="str">
        <f t="shared" si="4"/>
        <v/>
      </c>
      <c r="R65" s="74"/>
      <c r="S65" s="74"/>
      <c r="T65" s="42"/>
      <c r="U65" s="38" t="str">
        <f t="shared" si="3"/>
        <v/>
      </c>
      <c r="V65" s="51" t="s">
        <v>155</v>
      </c>
    </row>
    <row r="66" ht="15.0" customHeight="1">
      <c r="A66" s="44">
        <v>63.0</v>
      </c>
      <c r="B66" s="45" t="s">
        <v>203</v>
      </c>
      <c r="C66" s="46" t="s">
        <v>197</v>
      </c>
      <c r="D66" s="47" t="s">
        <v>180</v>
      </c>
      <c r="E66" s="48" t="s">
        <v>98</v>
      </c>
      <c r="F66" s="48" t="s">
        <v>99</v>
      </c>
      <c r="G66" s="71"/>
      <c r="H66" s="70"/>
      <c r="I66" s="70"/>
      <c r="J66" s="72"/>
      <c r="K66" s="72"/>
      <c r="L66" s="37"/>
      <c r="M66" s="38" t="str">
        <f t="shared" si="1"/>
        <v/>
      </c>
      <c r="N66" s="73"/>
      <c r="O66" s="73"/>
      <c r="P66" s="40"/>
      <c r="Q66" s="38" t="str">
        <f t="shared" si="4"/>
        <v/>
      </c>
      <c r="R66" s="74"/>
      <c r="S66" s="74"/>
      <c r="T66" s="42"/>
      <c r="U66" s="38" t="str">
        <f t="shared" si="3"/>
        <v/>
      </c>
      <c r="V66" s="51" t="s">
        <v>171</v>
      </c>
    </row>
    <row r="67" ht="15.0" customHeight="1">
      <c r="A67" s="44">
        <v>64.0</v>
      </c>
      <c r="B67" s="45" t="s">
        <v>203</v>
      </c>
      <c r="C67" s="46" t="s">
        <v>197</v>
      </c>
      <c r="D67" s="47" t="s">
        <v>180</v>
      </c>
      <c r="E67" s="48" t="s">
        <v>100</v>
      </c>
      <c r="F67" s="48" t="s">
        <v>97</v>
      </c>
      <c r="G67" s="71"/>
      <c r="H67" s="70"/>
      <c r="I67" s="70"/>
      <c r="J67" s="72"/>
      <c r="K67" s="72"/>
      <c r="L67" s="37"/>
      <c r="M67" s="38" t="str">
        <f t="shared" si="1"/>
        <v/>
      </c>
      <c r="N67" s="73"/>
      <c r="O67" s="73"/>
      <c r="P67" s="40"/>
      <c r="Q67" s="38" t="str">
        <f t="shared" si="4"/>
        <v/>
      </c>
      <c r="R67" s="74"/>
      <c r="S67" s="74"/>
      <c r="T67" s="42"/>
      <c r="U67" s="38" t="str">
        <f t="shared" si="3"/>
        <v/>
      </c>
      <c r="V67" s="51" t="s">
        <v>152</v>
      </c>
    </row>
    <row r="68" ht="15.0" customHeight="1">
      <c r="A68" s="44">
        <v>65.0</v>
      </c>
      <c r="B68" s="45" t="s">
        <v>203</v>
      </c>
      <c r="C68" s="46" t="s">
        <v>195</v>
      </c>
      <c r="D68" s="47" t="s">
        <v>182</v>
      </c>
      <c r="E68" s="48" t="s">
        <v>93</v>
      </c>
      <c r="F68" s="48" t="s">
        <v>94</v>
      </c>
      <c r="G68" s="71"/>
      <c r="H68" s="70"/>
      <c r="I68" s="70"/>
      <c r="J68" s="72"/>
      <c r="K68" s="72"/>
      <c r="L68" s="37"/>
      <c r="M68" s="38" t="str">
        <f t="shared" si="1"/>
        <v/>
      </c>
      <c r="N68" s="73"/>
      <c r="O68" s="73"/>
      <c r="P68" s="40"/>
      <c r="Q68" s="38" t="str">
        <f t="shared" si="4"/>
        <v/>
      </c>
      <c r="R68" s="74"/>
      <c r="S68" s="74"/>
      <c r="T68" s="42"/>
      <c r="U68" s="38" t="str">
        <f t="shared" si="3"/>
        <v/>
      </c>
      <c r="V68" s="51" t="s">
        <v>183</v>
      </c>
    </row>
    <row r="69" ht="15.0" customHeight="1">
      <c r="A69" s="44">
        <v>66.0</v>
      </c>
      <c r="B69" s="45" t="s">
        <v>203</v>
      </c>
      <c r="C69" s="46" t="s">
        <v>195</v>
      </c>
      <c r="D69" s="47" t="s">
        <v>182</v>
      </c>
      <c r="E69" s="48" t="s">
        <v>95</v>
      </c>
      <c r="F69" s="48" t="s">
        <v>92</v>
      </c>
      <c r="G69" s="71"/>
      <c r="H69" s="70"/>
      <c r="I69" s="70"/>
      <c r="J69" s="72"/>
      <c r="K69" s="72"/>
      <c r="L69" s="37"/>
      <c r="M69" s="38" t="str">
        <f t="shared" si="1"/>
        <v/>
      </c>
      <c r="N69" s="73"/>
      <c r="O69" s="73"/>
      <c r="P69" s="40"/>
      <c r="Q69" s="38" t="str">
        <f t="shared" si="4"/>
        <v/>
      </c>
      <c r="R69" s="74"/>
      <c r="S69" s="74"/>
      <c r="T69" s="42"/>
      <c r="U69" s="38" t="str">
        <f t="shared" si="3"/>
        <v/>
      </c>
      <c r="V69" s="51" t="s">
        <v>159</v>
      </c>
    </row>
    <row r="70" ht="15.0" customHeight="1">
      <c r="A70" s="29">
        <v>67.0</v>
      </c>
      <c r="B70" s="30" t="s">
        <v>204</v>
      </c>
      <c r="C70" s="31" t="s">
        <v>163</v>
      </c>
      <c r="D70" s="32" t="s">
        <v>57</v>
      </c>
      <c r="E70" s="33" t="s">
        <v>119</v>
      </c>
      <c r="F70" s="33" t="s">
        <v>117</v>
      </c>
      <c r="G70" s="69"/>
      <c r="H70" s="70"/>
      <c r="I70" s="70"/>
      <c r="J70" s="72"/>
      <c r="K70" s="72"/>
      <c r="L70" s="37"/>
      <c r="M70" s="38" t="str">
        <f t="shared" si="1"/>
        <v/>
      </c>
      <c r="N70" s="73"/>
      <c r="O70" s="73"/>
      <c r="P70" s="40"/>
      <c r="Q70" s="38" t="str">
        <f t="shared" si="4"/>
        <v/>
      </c>
      <c r="R70" s="74"/>
      <c r="S70" s="74"/>
      <c r="T70" s="42"/>
      <c r="U70" s="38" t="str">
        <f t="shared" si="3"/>
        <v/>
      </c>
      <c r="V70" s="43" t="s">
        <v>165</v>
      </c>
    </row>
    <row r="71" ht="15.0" customHeight="1">
      <c r="A71" s="29">
        <v>68.0</v>
      </c>
      <c r="B71" s="30" t="s">
        <v>204</v>
      </c>
      <c r="C71" s="31" t="s">
        <v>163</v>
      </c>
      <c r="D71" s="32" t="s">
        <v>57</v>
      </c>
      <c r="E71" s="33" t="s">
        <v>118</v>
      </c>
      <c r="F71" s="33" t="s">
        <v>120</v>
      </c>
      <c r="G71" s="69"/>
      <c r="H71" s="70"/>
      <c r="I71" s="70"/>
      <c r="J71" s="72"/>
      <c r="K71" s="72"/>
      <c r="L71" s="37"/>
      <c r="M71" s="38" t="str">
        <f t="shared" si="1"/>
        <v/>
      </c>
      <c r="N71" s="73"/>
      <c r="O71" s="73"/>
      <c r="P71" s="40"/>
      <c r="Q71" s="38" t="str">
        <f t="shared" si="4"/>
        <v/>
      </c>
      <c r="R71" s="74"/>
      <c r="S71" s="74"/>
      <c r="T71" s="42"/>
      <c r="U71" s="38" t="str">
        <f t="shared" si="3"/>
        <v/>
      </c>
      <c r="V71" s="43" t="s">
        <v>176</v>
      </c>
    </row>
    <row r="72" ht="15.0" customHeight="1">
      <c r="A72" s="29">
        <v>69.0</v>
      </c>
      <c r="B72" s="30" t="s">
        <v>204</v>
      </c>
      <c r="C72" s="31" t="s">
        <v>205</v>
      </c>
      <c r="D72" s="32" t="s">
        <v>191</v>
      </c>
      <c r="E72" s="33" t="s">
        <v>115</v>
      </c>
      <c r="F72" s="33" t="s">
        <v>112</v>
      </c>
      <c r="G72" s="69"/>
      <c r="H72" s="70"/>
      <c r="I72" s="70"/>
      <c r="J72" s="72"/>
      <c r="K72" s="72"/>
      <c r="L72" s="37"/>
      <c r="M72" s="38" t="str">
        <f t="shared" si="1"/>
        <v/>
      </c>
      <c r="N72" s="73"/>
      <c r="O72" s="73"/>
      <c r="P72" s="40"/>
      <c r="Q72" s="38" t="str">
        <f t="shared" si="4"/>
        <v/>
      </c>
      <c r="R72" s="74"/>
      <c r="S72" s="74"/>
      <c r="T72" s="42"/>
      <c r="U72" s="38" t="str">
        <f t="shared" si="3"/>
        <v/>
      </c>
      <c r="V72" s="43" t="s">
        <v>185</v>
      </c>
    </row>
    <row r="73" ht="15.0" customHeight="1">
      <c r="A73" s="29">
        <v>70.0</v>
      </c>
      <c r="B73" s="30" t="s">
        <v>204</v>
      </c>
      <c r="C73" s="31" t="s">
        <v>205</v>
      </c>
      <c r="D73" s="32" t="s">
        <v>191</v>
      </c>
      <c r="E73" s="33" t="s">
        <v>113</v>
      </c>
      <c r="F73" s="33" t="s">
        <v>114</v>
      </c>
      <c r="G73" s="69"/>
      <c r="H73" s="70"/>
      <c r="I73" s="70"/>
      <c r="J73" s="72"/>
      <c r="K73" s="72"/>
      <c r="L73" s="37"/>
      <c r="M73" s="38" t="str">
        <f t="shared" si="1"/>
        <v/>
      </c>
      <c r="N73" s="73"/>
      <c r="O73" s="73"/>
      <c r="P73" s="40"/>
      <c r="Q73" s="38" t="str">
        <f t="shared" si="4"/>
        <v/>
      </c>
      <c r="R73" s="74"/>
      <c r="S73" s="74"/>
      <c r="T73" s="42"/>
      <c r="U73" s="38" t="str">
        <f t="shared" si="3"/>
        <v/>
      </c>
      <c r="V73" s="43" t="s">
        <v>181</v>
      </c>
    </row>
    <row r="74" ht="15.0" customHeight="1">
      <c r="A74" s="29">
        <v>71.0</v>
      </c>
      <c r="B74" s="30" t="s">
        <v>204</v>
      </c>
      <c r="C74" s="31" t="s">
        <v>151</v>
      </c>
      <c r="D74" s="32" t="s">
        <v>170</v>
      </c>
      <c r="E74" s="33" t="s">
        <v>110</v>
      </c>
      <c r="F74" s="33" t="s">
        <v>107</v>
      </c>
      <c r="G74" s="69"/>
      <c r="H74" s="70"/>
      <c r="I74" s="70"/>
      <c r="J74" s="72"/>
      <c r="K74" s="72"/>
      <c r="L74" s="37"/>
      <c r="M74" s="38" t="str">
        <f t="shared" si="1"/>
        <v/>
      </c>
      <c r="N74" s="73"/>
      <c r="O74" s="73"/>
      <c r="P74" s="40"/>
      <c r="Q74" s="38" t="str">
        <f t="shared" si="4"/>
        <v/>
      </c>
      <c r="R74" s="74"/>
      <c r="S74" s="74"/>
      <c r="T74" s="42"/>
      <c r="U74" s="38" t="str">
        <f t="shared" si="3"/>
        <v/>
      </c>
      <c r="V74" s="43" t="s">
        <v>174</v>
      </c>
    </row>
    <row r="75" ht="15.0" customHeight="1">
      <c r="A75" s="29">
        <v>72.0</v>
      </c>
      <c r="B75" s="30" t="s">
        <v>204</v>
      </c>
      <c r="C75" s="31" t="s">
        <v>151</v>
      </c>
      <c r="D75" s="32" t="s">
        <v>170</v>
      </c>
      <c r="E75" s="33" t="s">
        <v>108</v>
      </c>
      <c r="F75" s="33" t="s">
        <v>109</v>
      </c>
      <c r="G75" s="69"/>
      <c r="H75" s="70"/>
      <c r="I75" s="70"/>
      <c r="J75" s="72"/>
      <c r="K75" s="72"/>
      <c r="L75" s="37"/>
      <c r="M75" s="38" t="str">
        <f t="shared" si="1"/>
        <v/>
      </c>
      <c r="N75" s="73"/>
      <c r="O75" s="73"/>
      <c r="P75" s="40"/>
      <c r="Q75" s="38" t="str">
        <f t="shared" si="4"/>
        <v/>
      </c>
      <c r="R75" s="74"/>
      <c r="S75" s="74"/>
      <c r="T75" s="42"/>
      <c r="U75" s="38" t="str">
        <f t="shared" si="3"/>
        <v/>
      </c>
      <c r="V75" s="43" t="s">
        <v>189</v>
      </c>
    </row>
    <row r="76" ht="15.75" customHeight="1">
      <c r="A76" s="1"/>
      <c r="B76" s="1"/>
      <c r="C76" s="1"/>
      <c r="D76" s="1"/>
      <c r="E76" s="1"/>
      <c r="F76" s="1"/>
      <c r="G76" s="1"/>
      <c r="H76" s="1"/>
      <c r="I76" s="1"/>
      <c r="J76" s="1"/>
      <c r="K76" s="1"/>
      <c r="L76" s="1"/>
      <c r="M76" s="1"/>
      <c r="N76" s="1"/>
      <c r="O76" s="1"/>
      <c r="P76" s="1"/>
      <c r="Q76" s="1"/>
      <c r="R76" s="1"/>
      <c r="S76" s="1"/>
      <c r="T76" s="1"/>
      <c r="U76" s="1"/>
      <c r="V76" s="1"/>
    </row>
    <row r="77" ht="15.75" customHeight="1">
      <c r="A77" s="1"/>
      <c r="B77" s="1"/>
      <c r="C77" s="1"/>
      <c r="D77" s="1"/>
      <c r="E77" s="1"/>
      <c r="F77" s="1"/>
      <c r="G77" s="1"/>
      <c r="H77" s="1"/>
      <c r="I77" s="1"/>
      <c r="J77" s="1"/>
      <c r="K77" s="1"/>
      <c r="L77" s="1"/>
      <c r="M77" s="1"/>
      <c r="N77" s="1"/>
      <c r="O77" s="1"/>
      <c r="P77" s="1"/>
      <c r="Q77" s="1"/>
      <c r="R77" s="1"/>
      <c r="S77" s="1"/>
      <c r="T77" s="1"/>
      <c r="U77" s="1"/>
      <c r="V77" s="1"/>
    </row>
    <row r="78" ht="15.75" customHeight="1">
      <c r="A78" s="1"/>
      <c r="B78" s="1"/>
      <c r="C78" s="1"/>
      <c r="D78" s="1"/>
      <c r="E78" s="1"/>
      <c r="F78" s="1"/>
      <c r="G78" s="1"/>
      <c r="H78" s="1"/>
      <c r="I78" s="1"/>
      <c r="J78" s="1"/>
      <c r="K78" s="1"/>
      <c r="L78" s="1"/>
      <c r="M78" s="1"/>
      <c r="N78" s="1"/>
      <c r="O78" s="1"/>
      <c r="P78" s="1"/>
      <c r="Q78" s="1"/>
      <c r="R78" s="1"/>
      <c r="S78" s="1"/>
      <c r="T78" s="1"/>
      <c r="U78" s="1"/>
      <c r="V78" s="1"/>
    </row>
    <row r="79" ht="15.75" customHeight="1">
      <c r="A79" s="1"/>
      <c r="B79" s="1"/>
      <c r="C79" s="1"/>
      <c r="D79" s="1"/>
      <c r="E79" s="1"/>
      <c r="F79" s="1"/>
      <c r="G79" s="1"/>
      <c r="H79" s="1"/>
      <c r="I79" s="1"/>
      <c r="J79" s="1"/>
      <c r="K79" s="1"/>
      <c r="L79" s="1"/>
      <c r="M79" s="1"/>
      <c r="N79" s="1"/>
      <c r="O79" s="1"/>
      <c r="P79" s="1"/>
      <c r="Q79" s="1"/>
      <c r="R79" s="1"/>
      <c r="S79" s="1"/>
      <c r="T79" s="1"/>
      <c r="U79" s="1"/>
      <c r="V79" s="1"/>
    </row>
    <row r="80" ht="15.75" customHeight="1">
      <c r="A80" s="1"/>
      <c r="B80" s="1"/>
      <c r="C80" s="1"/>
      <c r="D80" s="1"/>
      <c r="E80" s="1"/>
      <c r="F80" s="1"/>
      <c r="G80" s="1"/>
      <c r="H80" s="1"/>
      <c r="I80" s="1"/>
      <c r="J80" s="1"/>
      <c r="K80" s="1"/>
      <c r="L80" s="1"/>
      <c r="M80" s="1"/>
      <c r="N80" s="1"/>
      <c r="O80" s="1"/>
      <c r="P80" s="1"/>
      <c r="Q80" s="1"/>
      <c r="R80" s="1"/>
      <c r="S80" s="1"/>
      <c r="T80" s="1"/>
      <c r="U80" s="1"/>
      <c r="V80" s="1"/>
    </row>
    <row r="81" ht="15.75" customHeight="1">
      <c r="A81" s="1"/>
      <c r="B81" s="1"/>
      <c r="C81" s="1"/>
      <c r="D81" s="1"/>
      <c r="E81" s="1"/>
      <c r="F81" s="1"/>
      <c r="G81" s="1"/>
      <c r="H81" s="1"/>
      <c r="I81" s="1"/>
      <c r="J81" s="1"/>
      <c r="K81" s="1"/>
      <c r="L81" s="1"/>
      <c r="M81" s="1"/>
      <c r="N81" s="1"/>
      <c r="O81" s="1"/>
      <c r="P81" s="1"/>
      <c r="Q81" s="1"/>
      <c r="R81" s="1"/>
      <c r="S81" s="1"/>
      <c r="T81" s="1"/>
      <c r="U81" s="1"/>
      <c r="V81" s="1"/>
    </row>
    <row r="82" ht="15.75" customHeight="1">
      <c r="A82" s="1"/>
      <c r="B82" s="1"/>
      <c r="C82" s="1"/>
      <c r="D82" s="1"/>
      <c r="E82" s="1"/>
      <c r="F82" s="1"/>
      <c r="G82" s="1"/>
      <c r="H82" s="1"/>
      <c r="I82" s="1"/>
      <c r="J82" s="1"/>
      <c r="K82" s="1"/>
      <c r="L82" s="1"/>
      <c r="M82" s="1"/>
      <c r="N82" s="1"/>
      <c r="O82" s="1"/>
      <c r="P82" s="1"/>
      <c r="Q82" s="1"/>
      <c r="R82" s="1"/>
      <c r="S82" s="1"/>
      <c r="T82" s="1"/>
      <c r="U82" s="1"/>
      <c r="V82" s="1"/>
    </row>
    <row r="83" ht="15.75" customHeight="1">
      <c r="A83" s="1"/>
      <c r="B83" s="1"/>
      <c r="C83" s="1"/>
      <c r="D83" s="1"/>
      <c r="E83" s="1"/>
      <c r="F83" s="1"/>
      <c r="G83" s="1"/>
      <c r="H83" s="1"/>
      <c r="I83" s="1"/>
      <c r="J83" s="1"/>
      <c r="K83" s="1"/>
      <c r="L83" s="1"/>
      <c r="M83" s="1"/>
      <c r="N83" s="1"/>
      <c r="O83" s="1"/>
      <c r="P83" s="1"/>
      <c r="Q83" s="1"/>
      <c r="R83" s="1"/>
      <c r="S83" s="1"/>
      <c r="T83" s="1"/>
      <c r="U83" s="1"/>
      <c r="V83" s="1"/>
    </row>
    <row r="84" ht="15.75" customHeight="1">
      <c r="A84" s="1"/>
      <c r="B84" s="1"/>
      <c r="C84" s="1"/>
      <c r="D84" s="1"/>
      <c r="E84" s="1"/>
      <c r="F84" s="1"/>
      <c r="G84" s="1"/>
      <c r="H84" s="1"/>
      <c r="I84" s="1"/>
      <c r="J84" s="1"/>
      <c r="K84" s="1"/>
      <c r="L84" s="1"/>
      <c r="M84" s="1"/>
      <c r="N84" s="1"/>
      <c r="O84" s="1"/>
      <c r="P84" s="1"/>
      <c r="Q84" s="1"/>
      <c r="R84" s="1"/>
      <c r="S84" s="1"/>
      <c r="T84" s="1"/>
      <c r="U84" s="1"/>
      <c r="V84" s="1"/>
    </row>
    <row r="85" ht="15.75" customHeight="1">
      <c r="A85" s="1"/>
      <c r="B85" s="1"/>
      <c r="C85" s="1"/>
      <c r="D85" s="1"/>
      <c r="E85" s="1"/>
      <c r="F85" s="1"/>
      <c r="G85" s="1"/>
      <c r="H85" s="1"/>
      <c r="I85" s="1"/>
      <c r="J85" s="1"/>
      <c r="K85" s="1"/>
      <c r="L85" s="1"/>
      <c r="M85" s="1"/>
      <c r="N85" s="1"/>
      <c r="O85" s="1"/>
      <c r="P85" s="1"/>
      <c r="Q85" s="1"/>
      <c r="R85" s="1"/>
      <c r="S85" s="1"/>
      <c r="T85" s="1"/>
      <c r="U85" s="1"/>
      <c r="V85" s="1"/>
    </row>
    <row r="86" ht="15.75" customHeight="1">
      <c r="A86" s="1"/>
      <c r="B86" s="1"/>
      <c r="C86" s="1"/>
      <c r="D86" s="1"/>
      <c r="E86" s="1"/>
      <c r="F86" s="1"/>
      <c r="G86" s="1"/>
      <c r="H86" s="1"/>
      <c r="I86" s="1"/>
      <c r="J86" s="1"/>
      <c r="K86" s="1"/>
      <c r="L86" s="1"/>
      <c r="M86" s="1"/>
      <c r="N86" s="1"/>
      <c r="O86" s="1"/>
      <c r="P86" s="1"/>
      <c r="Q86" s="1"/>
      <c r="R86" s="1"/>
      <c r="S86" s="1"/>
      <c r="T86" s="1"/>
      <c r="U86" s="1"/>
      <c r="V86" s="1"/>
    </row>
    <row r="87" ht="15.75" customHeight="1">
      <c r="A87" s="1"/>
      <c r="B87" s="1"/>
      <c r="C87" s="1"/>
      <c r="D87" s="1"/>
      <c r="E87" s="1"/>
      <c r="F87" s="1"/>
      <c r="G87" s="1"/>
      <c r="H87" s="1"/>
      <c r="I87" s="1"/>
      <c r="J87" s="1"/>
      <c r="K87" s="1"/>
      <c r="L87" s="1"/>
      <c r="M87" s="1"/>
      <c r="N87" s="1"/>
      <c r="O87" s="1"/>
      <c r="P87" s="1"/>
      <c r="Q87" s="1"/>
      <c r="R87" s="1"/>
      <c r="S87" s="1"/>
      <c r="T87" s="1"/>
      <c r="U87" s="1"/>
      <c r="V87" s="1"/>
    </row>
    <row r="88" ht="15.75" customHeight="1">
      <c r="A88" s="1"/>
      <c r="B88" s="1"/>
      <c r="C88" s="1"/>
      <c r="D88" s="1"/>
      <c r="E88" s="1"/>
      <c r="F88" s="1"/>
      <c r="G88" s="1"/>
      <c r="H88" s="1"/>
      <c r="I88" s="1"/>
      <c r="J88" s="1"/>
      <c r="K88" s="1"/>
      <c r="L88" s="1"/>
      <c r="M88" s="1"/>
      <c r="N88" s="1"/>
      <c r="O88" s="1"/>
      <c r="P88" s="1"/>
      <c r="Q88" s="1"/>
      <c r="R88" s="1"/>
      <c r="S88" s="1"/>
      <c r="T88" s="1"/>
      <c r="U88" s="1"/>
      <c r="V88" s="1"/>
    </row>
    <row r="89" ht="15.75" customHeight="1">
      <c r="A89" s="1"/>
      <c r="B89" s="1"/>
      <c r="C89" s="1"/>
      <c r="D89" s="1"/>
      <c r="E89" s="1"/>
      <c r="F89" s="1"/>
      <c r="G89" s="1"/>
      <c r="H89" s="1"/>
      <c r="I89" s="1"/>
      <c r="J89" s="1"/>
      <c r="K89" s="1"/>
      <c r="L89" s="1"/>
      <c r="M89" s="1"/>
      <c r="N89" s="1"/>
      <c r="O89" s="1"/>
      <c r="P89" s="1"/>
      <c r="Q89" s="1"/>
      <c r="R89" s="1"/>
      <c r="S89" s="1"/>
      <c r="T89" s="1"/>
      <c r="U89" s="1"/>
      <c r="V89" s="1"/>
    </row>
    <row r="90" ht="15.75" customHeight="1">
      <c r="A90" s="1"/>
      <c r="B90" s="1"/>
      <c r="C90" s="1"/>
      <c r="D90" s="1"/>
      <c r="E90" s="1"/>
      <c r="F90" s="1"/>
      <c r="G90" s="1"/>
      <c r="H90" s="1"/>
      <c r="I90" s="1"/>
      <c r="J90" s="1"/>
      <c r="K90" s="1"/>
      <c r="L90" s="1"/>
      <c r="M90" s="1"/>
      <c r="N90" s="1"/>
      <c r="O90" s="1"/>
      <c r="P90" s="1"/>
      <c r="Q90" s="1"/>
      <c r="R90" s="1"/>
      <c r="S90" s="1"/>
      <c r="T90" s="1"/>
      <c r="U90" s="1"/>
      <c r="V90" s="1"/>
    </row>
    <row r="91" ht="15.75" customHeight="1">
      <c r="A91" s="1"/>
      <c r="B91" s="1"/>
      <c r="C91" s="1"/>
      <c r="D91" s="1"/>
      <c r="E91" s="1"/>
      <c r="F91" s="1"/>
      <c r="G91" s="1"/>
      <c r="H91" s="1"/>
      <c r="I91" s="1"/>
      <c r="J91" s="1"/>
      <c r="K91" s="1"/>
      <c r="L91" s="1"/>
      <c r="M91" s="1"/>
      <c r="N91" s="1"/>
      <c r="O91" s="1"/>
      <c r="P91" s="1"/>
      <c r="Q91" s="1"/>
      <c r="R91" s="1"/>
      <c r="S91" s="1"/>
      <c r="T91" s="1"/>
      <c r="U91" s="1"/>
      <c r="V91" s="1"/>
    </row>
    <row r="92" ht="15.75" customHeight="1">
      <c r="A92" s="1"/>
      <c r="B92" s="1"/>
      <c r="C92" s="1"/>
      <c r="D92" s="1"/>
      <c r="E92" s="1"/>
      <c r="F92" s="1"/>
      <c r="G92" s="1"/>
      <c r="H92" s="1"/>
      <c r="I92" s="1"/>
      <c r="J92" s="1"/>
      <c r="K92" s="1"/>
      <c r="L92" s="1"/>
      <c r="M92" s="1"/>
      <c r="N92" s="1"/>
      <c r="O92" s="1"/>
      <c r="P92" s="1"/>
      <c r="Q92" s="1"/>
      <c r="R92" s="1"/>
      <c r="S92" s="1"/>
      <c r="T92" s="1"/>
      <c r="U92" s="1"/>
      <c r="V92" s="1"/>
    </row>
    <row r="93" ht="15.75" customHeight="1">
      <c r="A93" s="1"/>
      <c r="B93" s="1"/>
      <c r="C93" s="1"/>
      <c r="D93" s="1"/>
      <c r="E93" s="1"/>
      <c r="F93" s="1"/>
      <c r="G93" s="1"/>
      <c r="H93" s="1"/>
      <c r="I93" s="1"/>
      <c r="J93" s="1"/>
      <c r="K93" s="1"/>
      <c r="L93" s="1"/>
      <c r="M93" s="1"/>
      <c r="N93" s="1"/>
      <c r="O93" s="1"/>
      <c r="P93" s="1"/>
      <c r="Q93" s="1"/>
      <c r="R93" s="1"/>
      <c r="S93" s="1"/>
      <c r="T93" s="1"/>
      <c r="U93" s="1"/>
      <c r="V93" s="1"/>
    </row>
    <row r="94" ht="15.75" customHeight="1">
      <c r="A94" s="1"/>
      <c r="B94" s="1"/>
      <c r="C94" s="1"/>
      <c r="D94" s="1"/>
      <c r="E94" s="1"/>
      <c r="F94" s="1"/>
      <c r="G94" s="1"/>
      <c r="H94" s="1"/>
      <c r="I94" s="1"/>
      <c r="J94" s="1"/>
      <c r="K94" s="1"/>
      <c r="L94" s="1"/>
      <c r="M94" s="1"/>
      <c r="N94" s="1"/>
      <c r="O94" s="1"/>
      <c r="P94" s="1"/>
      <c r="Q94" s="1"/>
      <c r="R94" s="1"/>
      <c r="S94" s="1"/>
      <c r="T94" s="1"/>
      <c r="U94" s="1"/>
      <c r="V94" s="1"/>
    </row>
    <row r="95" ht="15.75" customHeight="1">
      <c r="A95" s="1"/>
      <c r="B95" s="1"/>
      <c r="C95" s="1"/>
      <c r="D95" s="1"/>
      <c r="E95" s="1"/>
      <c r="F95" s="1"/>
      <c r="G95" s="1"/>
      <c r="H95" s="1"/>
      <c r="I95" s="1"/>
      <c r="J95" s="1"/>
      <c r="K95" s="1"/>
      <c r="L95" s="1"/>
      <c r="M95" s="1"/>
      <c r="N95" s="1"/>
      <c r="O95" s="1"/>
      <c r="P95" s="1"/>
      <c r="Q95" s="1"/>
      <c r="R95" s="1"/>
      <c r="S95" s="1"/>
      <c r="T95" s="1"/>
      <c r="U95" s="1"/>
      <c r="V95" s="1"/>
    </row>
    <row r="96" ht="15.75" customHeight="1">
      <c r="A96" s="1"/>
      <c r="B96" s="1"/>
      <c r="C96" s="1"/>
      <c r="D96" s="1"/>
      <c r="E96" s="1"/>
      <c r="F96" s="1"/>
      <c r="G96" s="1"/>
      <c r="H96" s="1"/>
      <c r="I96" s="1"/>
      <c r="J96" s="1"/>
      <c r="K96" s="1"/>
      <c r="L96" s="1"/>
      <c r="M96" s="1"/>
      <c r="N96" s="1"/>
      <c r="O96" s="1"/>
      <c r="P96" s="1"/>
      <c r="Q96" s="1"/>
      <c r="R96" s="1"/>
      <c r="S96" s="1"/>
      <c r="T96" s="1"/>
      <c r="U96" s="1"/>
      <c r="V96" s="1"/>
    </row>
    <row r="97" ht="15.75" customHeight="1">
      <c r="A97" s="1"/>
      <c r="B97" s="1"/>
      <c r="C97" s="1"/>
      <c r="D97" s="1"/>
      <c r="E97" s="1"/>
      <c r="F97" s="1"/>
      <c r="G97" s="1"/>
      <c r="H97" s="1"/>
      <c r="I97" s="1"/>
      <c r="J97" s="1"/>
      <c r="K97" s="1"/>
      <c r="L97" s="1"/>
      <c r="M97" s="1"/>
      <c r="N97" s="1"/>
      <c r="O97" s="1"/>
      <c r="P97" s="1"/>
      <c r="Q97" s="1"/>
      <c r="R97" s="1"/>
      <c r="S97" s="1"/>
      <c r="T97" s="1"/>
      <c r="U97" s="1"/>
      <c r="V97" s="1"/>
    </row>
    <row r="98" ht="15.75" customHeight="1">
      <c r="A98" s="1"/>
      <c r="B98" s="1"/>
      <c r="C98" s="1"/>
      <c r="D98" s="1"/>
      <c r="E98" s="1"/>
      <c r="F98" s="1"/>
      <c r="G98" s="1"/>
      <c r="H98" s="1"/>
      <c r="I98" s="1"/>
      <c r="J98" s="1"/>
      <c r="K98" s="1"/>
      <c r="L98" s="1"/>
      <c r="M98" s="1"/>
      <c r="N98" s="1"/>
      <c r="O98" s="1"/>
      <c r="P98" s="1"/>
      <c r="Q98" s="1"/>
      <c r="R98" s="1"/>
      <c r="S98" s="1"/>
      <c r="T98" s="1"/>
      <c r="U98" s="1"/>
      <c r="V98" s="1"/>
    </row>
    <row r="99" ht="15.75" customHeight="1">
      <c r="A99" s="1"/>
      <c r="B99" s="1"/>
      <c r="C99" s="1"/>
      <c r="D99" s="1"/>
      <c r="E99" s="1"/>
      <c r="F99" s="1"/>
      <c r="G99" s="1"/>
      <c r="H99" s="1"/>
      <c r="I99" s="1"/>
      <c r="J99" s="1"/>
      <c r="K99" s="1"/>
      <c r="L99" s="1"/>
      <c r="M99" s="1"/>
      <c r="N99" s="1"/>
      <c r="O99" s="1"/>
      <c r="P99" s="1"/>
      <c r="Q99" s="1"/>
      <c r="R99" s="1"/>
      <c r="S99" s="1"/>
      <c r="T99" s="1"/>
      <c r="U99" s="1"/>
      <c r="V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row>
  </sheetData>
  <mergeCells count="6">
    <mergeCell ref="A1:V1"/>
    <mergeCell ref="A2:G2"/>
    <mergeCell ref="H2:I2"/>
    <mergeCell ref="J2:M2"/>
    <mergeCell ref="N2:Q2"/>
    <mergeCell ref="R2:U2"/>
  </mergeCells>
  <conditionalFormatting sqref="H4:V75">
    <cfRule type="expression" dxfId="2" priority="1">
      <formula>$G4="L"</formula>
    </cfRule>
  </conditionalFormatting>
  <conditionalFormatting sqref="L4:L75">
    <cfRule type="expression" dxfId="3" priority="2">
      <formula>L4="J"</formula>
    </cfRule>
  </conditionalFormatting>
  <conditionalFormatting sqref="P4:P75">
    <cfRule type="expression" dxfId="3" priority="3">
      <formula>P4="J"</formula>
    </cfRule>
  </conditionalFormatting>
  <conditionalFormatting sqref="T4:T75">
    <cfRule type="expression" dxfId="3" priority="4">
      <formula>T4="J"</formula>
    </cfRule>
  </conditionalFormatting>
  <dataValidations>
    <dataValidation type="decimal" allowBlank="1" sqref="H4:K75 N4:O75 R4:S75">
      <formula1>0.0</formula1>
      <formula2>20.0</formula2>
    </dataValidation>
    <dataValidation type="list" allowBlank="1" sqref="L4:L75 P4:P75 T4:T75">
      <formula1>"J"</formula1>
    </dataValidation>
    <dataValidation type="list" allowBlank="1" sqref="G4:G75">
      <formula1>"L"</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4.43" defaultRowHeight="15.0"/>
  <cols>
    <col customWidth="1" min="1" max="1" width="5.0"/>
    <col customWidth="1" min="2" max="2" width="11.0"/>
    <col customWidth="1" min="3" max="3" width="16.0"/>
    <col customWidth="1" min="4" max="4" width="5.0"/>
    <col customWidth="1" min="5" max="6" width="17.0"/>
    <col customWidth="1" min="7" max="7" width="5.0"/>
    <col customWidth="1" min="8" max="9" width="6.0"/>
    <col customWidth="1" min="10" max="11" width="5.0"/>
    <col customWidth="1" min="12" max="12" width="4.0"/>
    <col customWidth="1" min="13" max="13" width="7.0"/>
    <col customWidth="1" min="14" max="15" width="5.0"/>
    <col customWidth="1" min="16" max="16" width="4.0"/>
    <col customWidth="1" min="17" max="17" width="7.0"/>
    <col customWidth="1" min="18" max="19" width="5.0"/>
    <col customWidth="1" min="20" max="20" width="4.0"/>
    <col customWidth="1" min="21" max="21" width="7.0"/>
    <col customWidth="1" min="22" max="26" width="8.71"/>
  </cols>
  <sheetData>
    <row r="1" ht="24.0" customHeight="1">
      <c r="A1" s="75" t="s">
        <v>206</v>
      </c>
      <c r="B1" s="12"/>
      <c r="C1" s="12"/>
      <c r="D1" s="12"/>
      <c r="E1" s="12"/>
      <c r="F1" s="12"/>
      <c r="G1" s="12"/>
      <c r="H1" s="12"/>
      <c r="I1" s="12"/>
      <c r="J1" s="12"/>
      <c r="K1" s="12"/>
      <c r="L1" s="12"/>
      <c r="M1" s="12"/>
      <c r="N1" s="12"/>
      <c r="O1" s="12"/>
      <c r="P1" s="12"/>
      <c r="Q1" s="12"/>
      <c r="R1" s="12"/>
      <c r="S1" s="12"/>
      <c r="T1" s="12"/>
      <c r="U1" s="3"/>
    </row>
    <row r="2" ht="18.0" customHeight="1">
      <c r="A2" s="21" t="s">
        <v>122</v>
      </c>
      <c r="B2" s="15"/>
      <c r="C2" s="15"/>
      <c r="D2" s="15"/>
      <c r="E2" s="15"/>
      <c r="F2" s="16"/>
      <c r="G2" s="22" t="s">
        <v>123</v>
      </c>
      <c r="H2" s="15"/>
      <c r="I2" s="16"/>
      <c r="J2" s="23" t="s">
        <v>124</v>
      </c>
      <c r="K2" s="15"/>
      <c r="L2" s="15"/>
      <c r="M2" s="16"/>
      <c r="N2" s="24" t="s">
        <v>125</v>
      </c>
      <c r="O2" s="15"/>
      <c r="P2" s="15"/>
      <c r="Q2" s="16"/>
      <c r="R2" s="25" t="s">
        <v>126</v>
      </c>
      <c r="S2" s="15"/>
      <c r="T2" s="15"/>
      <c r="U2" s="16"/>
    </row>
    <row r="3" ht="15.75" customHeight="1">
      <c r="A3" s="27" t="s">
        <v>127</v>
      </c>
      <c r="B3" s="27" t="s">
        <v>207</v>
      </c>
      <c r="C3" s="27" t="s">
        <v>208</v>
      </c>
      <c r="D3" s="27" t="s">
        <v>209</v>
      </c>
      <c r="E3" s="27" t="s">
        <v>131</v>
      </c>
      <c r="F3" s="27" t="s">
        <v>132</v>
      </c>
      <c r="G3" s="27" t="s">
        <v>133</v>
      </c>
      <c r="H3" s="27" t="s">
        <v>134</v>
      </c>
      <c r="I3" s="27" t="s">
        <v>135</v>
      </c>
      <c r="J3" s="27" t="s">
        <v>136</v>
      </c>
      <c r="K3" s="27" t="s">
        <v>137</v>
      </c>
      <c r="L3" s="27" t="s">
        <v>138</v>
      </c>
      <c r="M3" s="27" t="s">
        <v>139</v>
      </c>
      <c r="N3" s="27" t="s">
        <v>140</v>
      </c>
      <c r="O3" s="27" t="s">
        <v>141</v>
      </c>
      <c r="P3" s="27" t="s">
        <v>138</v>
      </c>
      <c r="Q3" s="27" t="s">
        <v>142</v>
      </c>
      <c r="R3" s="27" t="s">
        <v>143</v>
      </c>
      <c r="S3" s="27" t="s">
        <v>144</v>
      </c>
      <c r="T3" s="27" t="s">
        <v>138</v>
      </c>
      <c r="U3" s="27" t="s">
        <v>145</v>
      </c>
    </row>
    <row r="4">
      <c r="A4" s="29">
        <v>73.0</v>
      </c>
      <c r="B4" s="76" t="s">
        <v>210</v>
      </c>
      <c r="C4" s="77">
        <v>46201.0</v>
      </c>
      <c r="D4" s="78" t="s">
        <v>211</v>
      </c>
      <c r="E4" s="33"/>
      <c r="F4" s="33"/>
      <c r="G4" s="69"/>
      <c r="H4" s="70"/>
      <c r="I4" s="70"/>
      <c r="J4" s="72"/>
      <c r="K4" s="72"/>
      <c r="L4" s="37"/>
      <c r="M4" s="38" t="str">
        <f t="shared" ref="M4:M35" si="1">IF(OR($H4="",$I4=""),"",IF(OR(J4="",K4=""),-1,(IF(AND(J4=$H4,K4=$I4),5,IF(SIGN(J4-K4)=SIGN($H4-$I4),IF((J4-K4)=($H4-$I4),4,3),0)))*IF(L4="J",2,1)))</f>
        <v/>
      </c>
      <c r="N4" s="73"/>
      <c r="O4" s="73"/>
      <c r="P4" s="40"/>
      <c r="Q4" s="38" t="str">
        <f t="shared" ref="Q4:Q35" si="2">IF(OR($H4="",$I4=""),"",IF(OR(N4="",O4=""),-1,(IF(AND(N4=$H4,O4=$I4),5,IF(SIGN(N4-O4)=SIGN($H4-$I4),IF((N4-O4)=($H4-$I4),4,3),0)))*IF(P4="J",2,1)))</f>
        <v/>
      </c>
      <c r="R4" s="74"/>
      <c r="S4" s="74"/>
      <c r="T4" s="42"/>
      <c r="U4" s="38" t="str">
        <f t="shared" ref="U4:U35" si="3">IF(OR($H4="",$I4=""),"",IF(OR(R4="",S4=""),-1,(IF(AND(R4=$H4,S4=$I4),5,IF(SIGN(R4-S4)=SIGN($H4-$I4),IF((R4-S4)=($H4-$I4),4,3),0)))*IF(T4="J",2,1)))</f>
        <v/>
      </c>
    </row>
    <row r="5">
      <c r="A5" s="29">
        <v>74.0</v>
      </c>
      <c r="B5" s="76" t="s">
        <v>210</v>
      </c>
      <c r="C5" s="77">
        <v>46202.0</v>
      </c>
      <c r="D5" s="78" t="s">
        <v>211</v>
      </c>
      <c r="E5" s="33"/>
      <c r="F5" s="33"/>
      <c r="G5" s="69"/>
      <c r="H5" s="70"/>
      <c r="I5" s="70"/>
      <c r="J5" s="72"/>
      <c r="K5" s="72"/>
      <c r="L5" s="37"/>
      <c r="M5" s="38" t="str">
        <f t="shared" si="1"/>
        <v/>
      </c>
      <c r="N5" s="73"/>
      <c r="O5" s="73"/>
      <c r="P5" s="40"/>
      <c r="Q5" s="38" t="str">
        <f t="shared" si="2"/>
        <v/>
      </c>
      <c r="R5" s="74"/>
      <c r="S5" s="74"/>
      <c r="T5" s="42"/>
      <c r="U5" s="38" t="str">
        <f t="shared" si="3"/>
        <v/>
      </c>
    </row>
    <row r="6">
      <c r="A6" s="29">
        <v>75.0</v>
      </c>
      <c r="B6" s="76" t="s">
        <v>210</v>
      </c>
      <c r="C6" s="77">
        <v>46202.0</v>
      </c>
      <c r="D6" s="78" t="s">
        <v>211</v>
      </c>
      <c r="E6" s="33"/>
      <c r="F6" s="33"/>
      <c r="G6" s="69"/>
      <c r="H6" s="70"/>
      <c r="I6" s="70"/>
      <c r="J6" s="72"/>
      <c r="K6" s="72"/>
      <c r="L6" s="37"/>
      <c r="M6" s="38" t="str">
        <f t="shared" si="1"/>
        <v/>
      </c>
      <c r="N6" s="73"/>
      <c r="O6" s="73"/>
      <c r="P6" s="40"/>
      <c r="Q6" s="38" t="str">
        <f t="shared" si="2"/>
        <v/>
      </c>
      <c r="R6" s="74"/>
      <c r="S6" s="74"/>
      <c r="T6" s="42"/>
      <c r="U6" s="38" t="str">
        <f t="shared" si="3"/>
        <v/>
      </c>
    </row>
    <row r="7">
      <c r="A7" s="29">
        <v>76.0</v>
      </c>
      <c r="B7" s="76" t="s">
        <v>210</v>
      </c>
      <c r="C7" s="77">
        <v>46202.0</v>
      </c>
      <c r="D7" s="78" t="s">
        <v>211</v>
      </c>
      <c r="E7" s="33"/>
      <c r="F7" s="33"/>
      <c r="G7" s="69"/>
      <c r="H7" s="70"/>
      <c r="I7" s="70"/>
      <c r="J7" s="72"/>
      <c r="K7" s="72"/>
      <c r="L7" s="37"/>
      <c r="M7" s="38" t="str">
        <f t="shared" si="1"/>
        <v/>
      </c>
      <c r="N7" s="73"/>
      <c r="O7" s="73"/>
      <c r="P7" s="40"/>
      <c r="Q7" s="38" t="str">
        <f t="shared" si="2"/>
        <v/>
      </c>
      <c r="R7" s="74"/>
      <c r="S7" s="74"/>
      <c r="T7" s="42"/>
      <c r="U7" s="38" t="str">
        <f t="shared" si="3"/>
        <v/>
      </c>
    </row>
    <row r="8">
      <c r="A8" s="29">
        <v>77.0</v>
      </c>
      <c r="B8" s="76" t="s">
        <v>210</v>
      </c>
      <c r="C8" s="77">
        <v>46203.0</v>
      </c>
      <c r="D8" s="78" t="s">
        <v>211</v>
      </c>
      <c r="E8" s="33"/>
      <c r="F8" s="33"/>
      <c r="G8" s="69"/>
      <c r="H8" s="70"/>
      <c r="I8" s="70"/>
      <c r="J8" s="72"/>
      <c r="K8" s="72"/>
      <c r="L8" s="37"/>
      <c r="M8" s="38" t="str">
        <f t="shared" si="1"/>
        <v/>
      </c>
      <c r="N8" s="73"/>
      <c r="O8" s="73"/>
      <c r="P8" s="40"/>
      <c r="Q8" s="38" t="str">
        <f t="shared" si="2"/>
        <v/>
      </c>
      <c r="R8" s="74"/>
      <c r="S8" s="74"/>
      <c r="T8" s="42"/>
      <c r="U8" s="38" t="str">
        <f t="shared" si="3"/>
        <v/>
      </c>
    </row>
    <row r="9">
      <c r="A9" s="29">
        <v>78.0</v>
      </c>
      <c r="B9" s="76" t="s">
        <v>210</v>
      </c>
      <c r="C9" s="77">
        <v>46203.0</v>
      </c>
      <c r="D9" s="78" t="s">
        <v>211</v>
      </c>
      <c r="E9" s="33"/>
      <c r="F9" s="33"/>
      <c r="G9" s="69"/>
      <c r="H9" s="70"/>
      <c r="I9" s="70"/>
      <c r="J9" s="72"/>
      <c r="K9" s="72"/>
      <c r="L9" s="37"/>
      <c r="M9" s="38" t="str">
        <f t="shared" si="1"/>
        <v/>
      </c>
      <c r="N9" s="73"/>
      <c r="O9" s="73"/>
      <c r="P9" s="40"/>
      <c r="Q9" s="38" t="str">
        <f t="shared" si="2"/>
        <v/>
      </c>
      <c r="R9" s="74"/>
      <c r="S9" s="74"/>
      <c r="T9" s="42"/>
      <c r="U9" s="38" t="str">
        <f t="shared" si="3"/>
        <v/>
      </c>
    </row>
    <row r="10">
      <c r="A10" s="29">
        <v>79.0</v>
      </c>
      <c r="B10" s="76" t="s">
        <v>210</v>
      </c>
      <c r="C10" s="77">
        <v>46203.0</v>
      </c>
      <c r="D10" s="78" t="s">
        <v>211</v>
      </c>
      <c r="E10" s="33"/>
      <c r="F10" s="33"/>
      <c r="G10" s="69"/>
      <c r="H10" s="70"/>
      <c r="I10" s="70"/>
      <c r="J10" s="72"/>
      <c r="K10" s="72"/>
      <c r="L10" s="37"/>
      <c r="M10" s="38" t="str">
        <f t="shared" si="1"/>
        <v/>
      </c>
      <c r="N10" s="73"/>
      <c r="O10" s="73"/>
      <c r="P10" s="40"/>
      <c r="Q10" s="38" t="str">
        <f t="shared" si="2"/>
        <v/>
      </c>
      <c r="R10" s="74"/>
      <c r="S10" s="74"/>
      <c r="T10" s="42"/>
      <c r="U10" s="38" t="str">
        <f t="shared" si="3"/>
        <v/>
      </c>
    </row>
    <row r="11">
      <c r="A11" s="29">
        <v>80.0</v>
      </c>
      <c r="B11" s="76" t="s">
        <v>210</v>
      </c>
      <c r="C11" s="77">
        <v>46204.0</v>
      </c>
      <c r="D11" s="78" t="s">
        <v>211</v>
      </c>
      <c r="E11" s="33"/>
      <c r="F11" s="33"/>
      <c r="G11" s="69"/>
      <c r="H11" s="70"/>
      <c r="I11" s="70"/>
      <c r="J11" s="72"/>
      <c r="K11" s="72"/>
      <c r="L11" s="37"/>
      <c r="M11" s="38" t="str">
        <f t="shared" si="1"/>
        <v/>
      </c>
      <c r="N11" s="73"/>
      <c r="O11" s="73"/>
      <c r="P11" s="40"/>
      <c r="Q11" s="38" t="str">
        <f t="shared" si="2"/>
        <v/>
      </c>
      <c r="R11" s="74"/>
      <c r="S11" s="74"/>
      <c r="T11" s="42"/>
      <c r="U11" s="38" t="str">
        <f t="shared" si="3"/>
        <v/>
      </c>
    </row>
    <row r="12">
      <c r="A12" s="29">
        <v>81.0</v>
      </c>
      <c r="B12" s="76" t="s">
        <v>210</v>
      </c>
      <c r="C12" s="77">
        <v>46204.0</v>
      </c>
      <c r="D12" s="78" t="s">
        <v>211</v>
      </c>
      <c r="E12" s="33"/>
      <c r="F12" s="33"/>
      <c r="G12" s="69"/>
      <c r="H12" s="70"/>
      <c r="I12" s="70"/>
      <c r="J12" s="72"/>
      <c r="K12" s="72"/>
      <c r="L12" s="37"/>
      <c r="M12" s="38" t="str">
        <f t="shared" si="1"/>
        <v/>
      </c>
      <c r="N12" s="73"/>
      <c r="O12" s="73"/>
      <c r="P12" s="40"/>
      <c r="Q12" s="38" t="str">
        <f t="shared" si="2"/>
        <v/>
      </c>
      <c r="R12" s="74"/>
      <c r="S12" s="74"/>
      <c r="T12" s="42"/>
      <c r="U12" s="38" t="str">
        <f t="shared" si="3"/>
        <v/>
      </c>
    </row>
    <row r="13">
      <c r="A13" s="29">
        <v>82.0</v>
      </c>
      <c r="B13" s="76" t="s">
        <v>210</v>
      </c>
      <c r="C13" s="77">
        <v>46204.0</v>
      </c>
      <c r="D13" s="78" t="s">
        <v>211</v>
      </c>
      <c r="E13" s="33"/>
      <c r="F13" s="33"/>
      <c r="G13" s="69"/>
      <c r="H13" s="70"/>
      <c r="I13" s="70"/>
      <c r="J13" s="72"/>
      <c r="K13" s="72"/>
      <c r="L13" s="37"/>
      <c r="M13" s="38" t="str">
        <f t="shared" si="1"/>
        <v/>
      </c>
      <c r="N13" s="73"/>
      <c r="O13" s="73"/>
      <c r="P13" s="40"/>
      <c r="Q13" s="38" t="str">
        <f t="shared" si="2"/>
        <v/>
      </c>
      <c r="R13" s="74"/>
      <c r="S13" s="74"/>
      <c r="T13" s="42"/>
      <c r="U13" s="38" t="str">
        <f t="shared" si="3"/>
        <v/>
      </c>
    </row>
    <row r="14">
      <c r="A14" s="29">
        <v>83.0</v>
      </c>
      <c r="B14" s="76" t="s">
        <v>210</v>
      </c>
      <c r="C14" s="77">
        <v>46205.0</v>
      </c>
      <c r="D14" s="78" t="s">
        <v>211</v>
      </c>
      <c r="E14" s="33"/>
      <c r="F14" s="33"/>
      <c r="G14" s="69"/>
      <c r="H14" s="70"/>
      <c r="I14" s="70"/>
      <c r="J14" s="72"/>
      <c r="K14" s="72"/>
      <c r="L14" s="37"/>
      <c r="M14" s="38" t="str">
        <f t="shared" si="1"/>
        <v/>
      </c>
      <c r="N14" s="73"/>
      <c r="O14" s="73"/>
      <c r="P14" s="40"/>
      <c r="Q14" s="38" t="str">
        <f t="shared" si="2"/>
        <v/>
      </c>
      <c r="R14" s="74"/>
      <c r="S14" s="74"/>
      <c r="T14" s="42"/>
      <c r="U14" s="38" t="str">
        <f t="shared" si="3"/>
        <v/>
      </c>
    </row>
    <row r="15">
      <c r="A15" s="29">
        <v>84.0</v>
      </c>
      <c r="B15" s="76" t="s">
        <v>210</v>
      </c>
      <c r="C15" s="77">
        <v>46205.0</v>
      </c>
      <c r="D15" s="78" t="s">
        <v>211</v>
      </c>
      <c r="E15" s="33"/>
      <c r="F15" s="33"/>
      <c r="G15" s="69"/>
      <c r="H15" s="70"/>
      <c r="I15" s="70"/>
      <c r="J15" s="72"/>
      <c r="K15" s="72"/>
      <c r="L15" s="37"/>
      <c r="M15" s="38" t="str">
        <f t="shared" si="1"/>
        <v/>
      </c>
      <c r="N15" s="73"/>
      <c r="O15" s="73"/>
      <c r="P15" s="40"/>
      <c r="Q15" s="38" t="str">
        <f t="shared" si="2"/>
        <v/>
      </c>
      <c r="R15" s="74"/>
      <c r="S15" s="74"/>
      <c r="T15" s="42"/>
      <c r="U15" s="38" t="str">
        <f t="shared" si="3"/>
        <v/>
      </c>
    </row>
    <row r="16">
      <c r="A16" s="29">
        <v>85.0</v>
      </c>
      <c r="B16" s="76" t="s">
        <v>210</v>
      </c>
      <c r="C16" s="77">
        <v>46205.0</v>
      </c>
      <c r="D16" s="78" t="s">
        <v>211</v>
      </c>
      <c r="E16" s="33"/>
      <c r="F16" s="33"/>
      <c r="G16" s="69"/>
      <c r="H16" s="70"/>
      <c r="I16" s="70"/>
      <c r="J16" s="72"/>
      <c r="K16" s="72"/>
      <c r="L16" s="37"/>
      <c r="M16" s="38" t="str">
        <f t="shared" si="1"/>
        <v/>
      </c>
      <c r="N16" s="73"/>
      <c r="O16" s="73"/>
      <c r="P16" s="40"/>
      <c r="Q16" s="38" t="str">
        <f t="shared" si="2"/>
        <v/>
      </c>
      <c r="R16" s="74"/>
      <c r="S16" s="74"/>
      <c r="T16" s="42"/>
      <c r="U16" s="38" t="str">
        <f t="shared" si="3"/>
        <v/>
      </c>
    </row>
    <row r="17">
      <c r="A17" s="29">
        <v>86.0</v>
      </c>
      <c r="B17" s="76" t="s">
        <v>210</v>
      </c>
      <c r="C17" s="77">
        <v>46206.0</v>
      </c>
      <c r="D17" s="78" t="s">
        <v>211</v>
      </c>
      <c r="E17" s="33"/>
      <c r="F17" s="33"/>
      <c r="G17" s="69"/>
      <c r="H17" s="70"/>
      <c r="I17" s="70"/>
      <c r="J17" s="72"/>
      <c r="K17" s="72"/>
      <c r="L17" s="37"/>
      <c r="M17" s="38" t="str">
        <f t="shared" si="1"/>
        <v/>
      </c>
      <c r="N17" s="73"/>
      <c r="O17" s="73"/>
      <c r="P17" s="40"/>
      <c r="Q17" s="38" t="str">
        <f t="shared" si="2"/>
        <v/>
      </c>
      <c r="R17" s="74"/>
      <c r="S17" s="74"/>
      <c r="T17" s="42"/>
      <c r="U17" s="38" t="str">
        <f t="shared" si="3"/>
        <v/>
      </c>
    </row>
    <row r="18">
      <c r="A18" s="29">
        <v>87.0</v>
      </c>
      <c r="B18" s="76" t="s">
        <v>210</v>
      </c>
      <c r="C18" s="77">
        <v>46206.0</v>
      </c>
      <c r="D18" s="78" t="s">
        <v>211</v>
      </c>
      <c r="E18" s="33"/>
      <c r="F18" s="33"/>
      <c r="G18" s="69"/>
      <c r="H18" s="70"/>
      <c r="I18" s="70"/>
      <c r="J18" s="72"/>
      <c r="K18" s="72"/>
      <c r="L18" s="37"/>
      <c r="M18" s="38" t="str">
        <f t="shared" si="1"/>
        <v/>
      </c>
      <c r="N18" s="73"/>
      <c r="O18" s="73"/>
      <c r="P18" s="40"/>
      <c r="Q18" s="38" t="str">
        <f t="shared" si="2"/>
        <v/>
      </c>
      <c r="R18" s="74"/>
      <c r="S18" s="74"/>
      <c r="T18" s="42"/>
      <c r="U18" s="38" t="str">
        <f t="shared" si="3"/>
        <v/>
      </c>
    </row>
    <row r="19">
      <c r="A19" s="29">
        <v>88.0</v>
      </c>
      <c r="B19" s="76" t="s">
        <v>210</v>
      </c>
      <c r="C19" s="77">
        <v>46206.0</v>
      </c>
      <c r="D19" s="78" t="s">
        <v>211</v>
      </c>
      <c r="E19" s="33"/>
      <c r="F19" s="33"/>
      <c r="G19" s="69"/>
      <c r="H19" s="70"/>
      <c r="I19" s="70"/>
      <c r="J19" s="72"/>
      <c r="K19" s="72"/>
      <c r="L19" s="37"/>
      <c r="M19" s="38" t="str">
        <f t="shared" si="1"/>
        <v/>
      </c>
      <c r="N19" s="73"/>
      <c r="O19" s="73"/>
      <c r="P19" s="40"/>
      <c r="Q19" s="38" t="str">
        <f t="shared" si="2"/>
        <v/>
      </c>
      <c r="R19" s="74"/>
      <c r="S19" s="74"/>
      <c r="T19" s="42"/>
      <c r="U19" s="38" t="str">
        <f t="shared" si="3"/>
        <v/>
      </c>
    </row>
    <row r="20">
      <c r="A20" s="44">
        <v>89.0</v>
      </c>
      <c r="B20" s="79" t="s">
        <v>212</v>
      </c>
      <c r="C20" s="80">
        <v>46207.0</v>
      </c>
      <c r="D20" s="81" t="s">
        <v>213</v>
      </c>
      <c r="E20" s="48"/>
      <c r="F20" s="48"/>
      <c r="G20" s="71"/>
      <c r="H20" s="70"/>
      <c r="I20" s="70"/>
      <c r="J20" s="72"/>
      <c r="K20" s="72"/>
      <c r="L20" s="37"/>
      <c r="M20" s="38" t="str">
        <f t="shared" si="1"/>
        <v/>
      </c>
      <c r="N20" s="73"/>
      <c r="O20" s="73"/>
      <c r="P20" s="40"/>
      <c r="Q20" s="38" t="str">
        <f t="shared" si="2"/>
        <v/>
      </c>
      <c r="R20" s="74"/>
      <c r="S20" s="74"/>
      <c r="T20" s="42"/>
      <c r="U20" s="38" t="str">
        <f t="shared" si="3"/>
        <v/>
      </c>
    </row>
    <row r="21" ht="15.75" customHeight="1">
      <c r="A21" s="44">
        <v>90.0</v>
      </c>
      <c r="B21" s="79" t="s">
        <v>212</v>
      </c>
      <c r="C21" s="80">
        <v>46207.0</v>
      </c>
      <c r="D21" s="81" t="s">
        <v>213</v>
      </c>
      <c r="E21" s="48"/>
      <c r="F21" s="48"/>
      <c r="G21" s="71"/>
      <c r="H21" s="70"/>
      <c r="I21" s="70"/>
      <c r="J21" s="72"/>
      <c r="K21" s="72"/>
      <c r="L21" s="37"/>
      <c r="M21" s="38" t="str">
        <f t="shared" si="1"/>
        <v/>
      </c>
      <c r="N21" s="73"/>
      <c r="O21" s="73"/>
      <c r="P21" s="40"/>
      <c r="Q21" s="38" t="str">
        <f t="shared" si="2"/>
        <v/>
      </c>
      <c r="R21" s="74"/>
      <c r="S21" s="74"/>
      <c r="T21" s="42"/>
      <c r="U21" s="38" t="str">
        <f t="shared" si="3"/>
        <v/>
      </c>
    </row>
    <row r="22" ht="15.75" customHeight="1">
      <c r="A22" s="44">
        <v>91.0</v>
      </c>
      <c r="B22" s="79" t="s">
        <v>212</v>
      </c>
      <c r="C22" s="80">
        <v>46208.0</v>
      </c>
      <c r="D22" s="81" t="s">
        <v>213</v>
      </c>
      <c r="E22" s="48"/>
      <c r="F22" s="48"/>
      <c r="G22" s="71"/>
      <c r="H22" s="70"/>
      <c r="I22" s="70"/>
      <c r="J22" s="72"/>
      <c r="K22" s="72"/>
      <c r="L22" s="37"/>
      <c r="M22" s="38" t="str">
        <f t="shared" si="1"/>
        <v/>
      </c>
      <c r="N22" s="73"/>
      <c r="O22" s="73"/>
      <c r="P22" s="40"/>
      <c r="Q22" s="38" t="str">
        <f t="shared" si="2"/>
        <v/>
      </c>
      <c r="R22" s="74"/>
      <c r="S22" s="74"/>
      <c r="T22" s="42"/>
      <c r="U22" s="38" t="str">
        <f t="shared" si="3"/>
        <v/>
      </c>
    </row>
    <row r="23" ht="15.75" customHeight="1">
      <c r="A23" s="44">
        <v>92.0</v>
      </c>
      <c r="B23" s="79" t="s">
        <v>212</v>
      </c>
      <c r="C23" s="80">
        <v>46208.0</v>
      </c>
      <c r="D23" s="81" t="s">
        <v>213</v>
      </c>
      <c r="E23" s="48"/>
      <c r="F23" s="48"/>
      <c r="G23" s="71"/>
      <c r="H23" s="70"/>
      <c r="I23" s="70"/>
      <c r="J23" s="72"/>
      <c r="K23" s="72"/>
      <c r="L23" s="37"/>
      <c r="M23" s="38" t="str">
        <f t="shared" si="1"/>
        <v/>
      </c>
      <c r="N23" s="73"/>
      <c r="O23" s="73"/>
      <c r="P23" s="40"/>
      <c r="Q23" s="38" t="str">
        <f t="shared" si="2"/>
        <v/>
      </c>
      <c r="R23" s="74"/>
      <c r="S23" s="74"/>
      <c r="T23" s="42"/>
      <c r="U23" s="38" t="str">
        <f t="shared" si="3"/>
        <v/>
      </c>
    </row>
    <row r="24" ht="15.75" customHeight="1">
      <c r="A24" s="44">
        <v>93.0</v>
      </c>
      <c r="B24" s="79" t="s">
        <v>212</v>
      </c>
      <c r="C24" s="80">
        <v>46209.0</v>
      </c>
      <c r="D24" s="81" t="s">
        <v>213</v>
      </c>
      <c r="E24" s="48"/>
      <c r="F24" s="48"/>
      <c r="G24" s="71"/>
      <c r="H24" s="70"/>
      <c r="I24" s="70"/>
      <c r="J24" s="72"/>
      <c r="K24" s="72"/>
      <c r="L24" s="37"/>
      <c r="M24" s="38" t="str">
        <f t="shared" si="1"/>
        <v/>
      </c>
      <c r="N24" s="73"/>
      <c r="O24" s="73"/>
      <c r="P24" s="40"/>
      <c r="Q24" s="38" t="str">
        <f t="shared" si="2"/>
        <v/>
      </c>
      <c r="R24" s="74"/>
      <c r="S24" s="74"/>
      <c r="T24" s="42"/>
      <c r="U24" s="38" t="str">
        <f t="shared" si="3"/>
        <v/>
      </c>
    </row>
    <row r="25" ht="15.75" customHeight="1">
      <c r="A25" s="44">
        <v>94.0</v>
      </c>
      <c r="B25" s="79" t="s">
        <v>212</v>
      </c>
      <c r="C25" s="80">
        <v>46209.0</v>
      </c>
      <c r="D25" s="81" t="s">
        <v>213</v>
      </c>
      <c r="E25" s="48"/>
      <c r="F25" s="48"/>
      <c r="G25" s="71"/>
      <c r="H25" s="70"/>
      <c r="I25" s="70"/>
      <c r="J25" s="72"/>
      <c r="K25" s="72"/>
      <c r="L25" s="37"/>
      <c r="M25" s="38" t="str">
        <f t="shared" si="1"/>
        <v/>
      </c>
      <c r="N25" s="73"/>
      <c r="O25" s="73"/>
      <c r="P25" s="40"/>
      <c r="Q25" s="38" t="str">
        <f t="shared" si="2"/>
        <v/>
      </c>
      <c r="R25" s="74"/>
      <c r="S25" s="74"/>
      <c r="T25" s="42"/>
      <c r="U25" s="38" t="str">
        <f t="shared" si="3"/>
        <v/>
      </c>
    </row>
    <row r="26" ht="15.75" customHeight="1">
      <c r="A26" s="44">
        <v>95.0</v>
      </c>
      <c r="B26" s="79" t="s">
        <v>212</v>
      </c>
      <c r="C26" s="80">
        <v>46210.0</v>
      </c>
      <c r="D26" s="81" t="s">
        <v>213</v>
      </c>
      <c r="E26" s="48"/>
      <c r="F26" s="48"/>
      <c r="G26" s="71"/>
      <c r="H26" s="70"/>
      <c r="I26" s="70"/>
      <c r="J26" s="72"/>
      <c r="K26" s="72"/>
      <c r="L26" s="37"/>
      <c r="M26" s="38" t="str">
        <f t="shared" si="1"/>
        <v/>
      </c>
      <c r="N26" s="73"/>
      <c r="O26" s="73"/>
      <c r="P26" s="40"/>
      <c r="Q26" s="38" t="str">
        <f t="shared" si="2"/>
        <v/>
      </c>
      <c r="R26" s="74"/>
      <c r="S26" s="74"/>
      <c r="T26" s="42"/>
      <c r="U26" s="38" t="str">
        <f t="shared" si="3"/>
        <v/>
      </c>
    </row>
    <row r="27" ht="15.75" customHeight="1">
      <c r="A27" s="44">
        <v>96.0</v>
      </c>
      <c r="B27" s="79" t="s">
        <v>212</v>
      </c>
      <c r="C27" s="80">
        <v>46210.0</v>
      </c>
      <c r="D27" s="81" t="s">
        <v>213</v>
      </c>
      <c r="E27" s="48"/>
      <c r="F27" s="48"/>
      <c r="G27" s="71"/>
      <c r="H27" s="70"/>
      <c r="I27" s="70"/>
      <c r="J27" s="72"/>
      <c r="K27" s="72"/>
      <c r="L27" s="37"/>
      <c r="M27" s="38" t="str">
        <f t="shared" si="1"/>
        <v/>
      </c>
      <c r="N27" s="73"/>
      <c r="O27" s="73"/>
      <c r="P27" s="40"/>
      <c r="Q27" s="38" t="str">
        <f t="shared" si="2"/>
        <v/>
      </c>
      <c r="R27" s="74"/>
      <c r="S27" s="74"/>
      <c r="T27" s="42"/>
      <c r="U27" s="38" t="str">
        <f t="shared" si="3"/>
        <v/>
      </c>
    </row>
    <row r="28" ht="15.75" customHeight="1">
      <c r="A28" s="29">
        <v>97.0</v>
      </c>
      <c r="B28" s="76" t="s">
        <v>214</v>
      </c>
      <c r="C28" s="77">
        <v>46212.0</v>
      </c>
      <c r="D28" s="78" t="s">
        <v>215</v>
      </c>
      <c r="E28" s="33"/>
      <c r="F28" s="33"/>
      <c r="G28" s="69"/>
      <c r="H28" s="70"/>
      <c r="I28" s="70"/>
      <c r="J28" s="72"/>
      <c r="K28" s="72"/>
      <c r="L28" s="37"/>
      <c r="M28" s="38" t="str">
        <f t="shared" si="1"/>
        <v/>
      </c>
      <c r="N28" s="73"/>
      <c r="O28" s="73"/>
      <c r="P28" s="40"/>
      <c r="Q28" s="38" t="str">
        <f t="shared" si="2"/>
        <v/>
      </c>
      <c r="R28" s="74"/>
      <c r="S28" s="74"/>
      <c r="T28" s="42"/>
      <c r="U28" s="38" t="str">
        <f t="shared" si="3"/>
        <v/>
      </c>
    </row>
    <row r="29" ht="15.75" customHeight="1">
      <c r="A29" s="29">
        <v>98.0</v>
      </c>
      <c r="B29" s="76" t="s">
        <v>214</v>
      </c>
      <c r="C29" s="77">
        <v>46213.0</v>
      </c>
      <c r="D29" s="78" t="s">
        <v>215</v>
      </c>
      <c r="E29" s="33"/>
      <c r="F29" s="33"/>
      <c r="G29" s="69"/>
      <c r="H29" s="70"/>
      <c r="I29" s="70"/>
      <c r="J29" s="72"/>
      <c r="K29" s="72"/>
      <c r="L29" s="37"/>
      <c r="M29" s="38" t="str">
        <f t="shared" si="1"/>
        <v/>
      </c>
      <c r="N29" s="73"/>
      <c r="O29" s="73"/>
      <c r="P29" s="40"/>
      <c r="Q29" s="38" t="str">
        <f t="shared" si="2"/>
        <v/>
      </c>
      <c r="R29" s="74"/>
      <c r="S29" s="74"/>
      <c r="T29" s="42"/>
      <c r="U29" s="38" t="str">
        <f t="shared" si="3"/>
        <v/>
      </c>
    </row>
    <row r="30" ht="15.75" customHeight="1">
      <c r="A30" s="29">
        <v>99.0</v>
      </c>
      <c r="B30" s="76" t="s">
        <v>214</v>
      </c>
      <c r="C30" s="77">
        <v>46214.0</v>
      </c>
      <c r="D30" s="78" t="s">
        <v>215</v>
      </c>
      <c r="E30" s="33"/>
      <c r="F30" s="33"/>
      <c r="G30" s="69"/>
      <c r="H30" s="70"/>
      <c r="I30" s="70"/>
      <c r="J30" s="72"/>
      <c r="K30" s="72"/>
      <c r="L30" s="37"/>
      <c r="M30" s="38" t="str">
        <f t="shared" si="1"/>
        <v/>
      </c>
      <c r="N30" s="73"/>
      <c r="O30" s="73"/>
      <c r="P30" s="40"/>
      <c r="Q30" s="38" t="str">
        <f t="shared" si="2"/>
        <v/>
      </c>
      <c r="R30" s="74"/>
      <c r="S30" s="74"/>
      <c r="T30" s="42"/>
      <c r="U30" s="38" t="str">
        <f t="shared" si="3"/>
        <v/>
      </c>
    </row>
    <row r="31" ht="15.75" customHeight="1">
      <c r="A31" s="29">
        <v>100.0</v>
      </c>
      <c r="B31" s="76" t="s">
        <v>214</v>
      </c>
      <c r="C31" s="77">
        <v>46214.0</v>
      </c>
      <c r="D31" s="78" t="s">
        <v>215</v>
      </c>
      <c r="E31" s="33"/>
      <c r="F31" s="33"/>
      <c r="G31" s="69"/>
      <c r="H31" s="70"/>
      <c r="I31" s="70"/>
      <c r="J31" s="72"/>
      <c r="K31" s="72"/>
      <c r="L31" s="37"/>
      <c r="M31" s="38" t="str">
        <f t="shared" si="1"/>
        <v/>
      </c>
      <c r="N31" s="73"/>
      <c r="O31" s="73"/>
      <c r="P31" s="40"/>
      <c r="Q31" s="38" t="str">
        <f t="shared" si="2"/>
        <v/>
      </c>
      <c r="R31" s="74"/>
      <c r="S31" s="74"/>
      <c r="T31" s="42"/>
      <c r="U31" s="38" t="str">
        <f t="shared" si="3"/>
        <v/>
      </c>
    </row>
    <row r="32" ht="15.75" customHeight="1">
      <c r="A32" s="44">
        <v>101.0</v>
      </c>
      <c r="B32" s="47" t="s">
        <v>216</v>
      </c>
      <c r="C32" s="80">
        <v>46217.0</v>
      </c>
      <c r="D32" s="81" t="s">
        <v>217</v>
      </c>
      <c r="E32" s="48"/>
      <c r="F32" s="48"/>
      <c r="G32" s="71"/>
      <c r="H32" s="70"/>
      <c r="I32" s="70"/>
      <c r="J32" s="72"/>
      <c r="K32" s="72"/>
      <c r="L32" s="37"/>
      <c r="M32" s="38" t="str">
        <f t="shared" si="1"/>
        <v/>
      </c>
      <c r="N32" s="73"/>
      <c r="O32" s="73"/>
      <c r="P32" s="40"/>
      <c r="Q32" s="38" t="str">
        <f t="shared" si="2"/>
        <v/>
      </c>
      <c r="R32" s="74"/>
      <c r="S32" s="74"/>
      <c r="T32" s="42"/>
      <c r="U32" s="38" t="str">
        <f t="shared" si="3"/>
        <v/>
      </c>
    </row>
    <row r="33" ht="15.75" customHeight="1">
      <c r="A33" s="44">
        <v>102.0</v>
      </c>
      <c r="B33" s="47" t="s">
        <v>216</v>
      </c>
      <c r="C33" s="80">
        <v>46218.0</v>
      </c>
      <c r="D33" s="81" t="s">
        <v>217</v>
      </c>
      <c r="E33" s="48"/>
      <c r="F33" s="48"/>
      <c r="G33" s="71"/>
      <c r="H33" s="70"/>
      <c r="I33" s="70"/>
      <c r="J33" s="72"/>
      <c r="K33" s="72"/>
      <c r="L33" s="37"/>
      <c r="M33" s="38" t="str">
        <f t="shared" si="1"/>
        <v/>
      </c>
      <c r="N33" s="73"/>
      <c r="O33" s="73"/>
      <c r="P33" s="40"/>
      <c r="Q33" s="38" t="str">
        <f t="shared" si="2"/>
        <v/>
      </c>
      <c r="R33" s="74"/>
      <c r="S33" s="74"/>
      <c r="T33" s="42"/>
      <c r="U33" s="38" t="str">
        <f t="shared" si="3"/>
        <v/>
      </c>
    </row>
    <row r="34" ht="15.75" customHeight="1">
      <c r="A34" s="29">
        <v>103.0</v>
      </c>
      <c r="B34" s="32" t="s">
        <v>218</v>
      </c>
      <c r="C34" s="77">
        <v>46221.0</v>
      </c>
      <c r="D34" s="78" t="s">
        <v>219</v>
      </c>
      <c r="E34" s="33"/>
      <c r="F34" s="33"/>
      <c r="G34" s="69"/>
      <c r="H34" s="70"/>
      <c r="I34" s="70"/>
      <c r="J34" s="72"/>
      <c r="K34" s="72"/>
      <c r="L34" s="37"/>
      <c r="M34" s="38" t="str">
        <f t="shared" si="1"/>
        <v/>
      </c>
      <c r="N34" s="73"/>
      <c r="O34" s="73"/>
      <c r="P34" s="40"/>
      <c r="Q34" s="38" t="str">
        <f t="shared" si="2"/>
        <v/>
      </c>
      <c r="R34" s="74"/>
      <c r="S34" s="74"/>
      <c r="T34" s="42"/>
      <c r="U34" s="38" t="str">
        <f t="shared" si="3"/>
        <v/>
      </c>
    </row>
    <row r="35" ht="15.75" customHeight="1">
      <c r="A35" s="44">
        <v>104.0</v>
      </c>
      <c r="B35" s="47" t="s">
        <v>220</v>
      </c>
      <c r="C35" s="80">
        <v>46222.0</v>
      </c>
      <c r="D35" s="81" t="s">
        <v>173</v>
      </c>
      <c r="E35" s="48"/>
      <c r="F35" s="48"/>
      <c r="G35" s="71"/>
      <c r="H35" s="70"/>
      <c r="I35" s="70"/>
      <c r="J35" s="72"/>
      <c r="K35" s="72"/>
      <c r="L35" s="37"/>
      <c r="M35" s="38" t="str">
        <f t="shared" si="1"/>
        <v/>
      </c>
      <c r="N35" s="73"/>
      <c r="O35" s="73"/>
      <c r="P35" s="40"/>
      <c r="Q35" s="38" t="str">
        <f t="shared" si="2"/>
        <v/>
      </c>
      <c r="R35" s="74"/>
      <c r="S35" s="74"/>
      <c r="T35" s="42"/>
      <c r="U35" s="38" t="str">
        <f t="shared" si="3"/>
        <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U1"/>
    <mergeCell ref="A2:F2"/>
    <mergeCell ref="G2:I2"/>
    <mergeCell ref="J2:M2"/>
    <mergeCell ref="N2:Q2"/>
    <mergeCell ref="R2:U2"/>
  </mergeCells>
  <conditionalFormatting sqref="H4:U35">
    <cfRule type="expression" dxfId="2" priority="1">
      <formula>$G4="L"</formula>
    </cfRule>
  </conditionalFormatting>
  <conditionalFormatting sqref="L4:L35">
    <cfRule type="expression" dxfId="3" priority="2">
      <formula>L4="J"</formula>
    </cfRule>
  </conditionalFormatting>
  <conditionalFormatting sqref="P4:P35">
    <cfRule type="expression" dxfId="3" priority="3">
      <formula>P4="J"</formula>
    </cfRule>
  </conditionalFormatting>
  <conditionalFormatting sqref="T4:T35">
    <cfRule type="expression" dxfId="3" priority="4">
      <formula>T4="J"</formula>
    </cfRule>
  </conditionalFormatting>
  <dataValidations>
    <dataValidation type="decimal" allowBlank="1" sqref="H4:K35 N4:O35 R4:S35">
      <formula1>0.0</formula1>
      <formula2>20.0</formula2>
    </dataValidation>
    <dataValidation type="list" allowBlank="1" sqref="L4:L35 P4:P35 T4:T35">
      <formula1>"J"</formula1>
    </dataValidation>
    <dataValidation type="list" allowBlank="1" sqref="G4:G35">
      <formula1>"L"</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4.0"/>
    <col customWidth="1" min="3" max="3" width="8.0"/>
    <col customWidth="1" min="4" max="4" width="18.0"/>
    <col customWidth="1" min="5" max="5" width="7.0"/>
    <col customWidth="1" min="6" max="6" width="18.0"/>
    <col customWidth="1" min="7" max="7" width="7.0"/>
    <col customWidth="1" min="8" max="8" width="18.0"/>
    <col customWidth="1" min="9" max="9" width="7.0"/>
    <col customWidth="1" min="10" max="26" width="8.71"/>
  </cols>
  <sheetData>
    <row r="1">
      <c r="A1" s="1"/>
      <c r="B1" s="1"/>
      <c r="C1" s="1"/>
      <c r="D1" s="1"/>
      <c r="E1" s="1"/>
      <c r="F1" s="1"/>
      <c r="G1" s="1"/>
      <c r="H1" s="1"/>
      <c r="I1" s="1"/>
    </row>
    <row r="2" ht="30.0" customHeight="1">
      <c r="A2" s="1"/>
      <c r="B2" s="82" t="s">
        <v>221</v>
      </c>
      <c r="C2" s="12"/>
      <c r="D2" s="12"/>
      <c r="E2" s="12"/>
      <c r="F2" s="12"/>
      <c r="G2" s="12"/>
      <c r="H2" s="12"/>
      <c r="I2" s="3"/>
    </row>
    <row r="3" ht="19.5" customHeight="1">
      <c r="A3" s="1"/>
      <c r="B3" s="83" t="s">
        <v>222</v>
      </c>
      <c r="C3" s="12"/>
      <c r="D3" s="12"/>
      <c r="E3" s="12"/>
      <c r="F3" s="12"/>
      <c r="G3" s="12"/>
      <c r="H3" s="12"/>
      <c r="I3" s="3"/>
    </row>
    <row r="4">
      <c r="A4" s="1"/>
      <c r="B4" s="1"/>
      <c r="C4" s="1"/>
      <c r="D4" s="1"/>
      <c r="E4" s="1"/>
      <c r="F4" s="1"/>
      <c r="G4" s="1"/>
      <c r="H4" s="1"/>
      <c r="I4" s="1"/>
    </row>
    <row r="5" ht="19.5" customHeight="1">
      <c r="A5" s="1"/>
      <c r="B5" s="84" t="s">
        <v>223</v>
      </c>
      <c r="C5" s="85" t="s">
        <v>61</v>
      </c>
      <c r="D5" s="84" t="s">
        <v>224</v>
      </c>
      <c r="E5" s="85" t="s">
        <v>225</v>
      </c>
      <c r="F5" s="84" t="s">
        <v>226</v>
      </c>
      <c r="G5" s="85" t="s">
        <v>225</v>
      </c>
      <c r="H5" s="84" t="s">
        <v>227</v>
      </c>
      <c r="I5" s="85" t="s">
        <v>225</v>
      </c>
    </row>
    <row r="6" ht="24.0" customHeight="1">
      <c r="A6" s="1"/>
      <c r="B6" s="86" t="s">
        <v>228</v>
      </c>
      <c r="C6" s="87">
        <v>25.0</v>
      </c>
      <c r="D6" s="88" t="s">
        <v>97</v>
      </c>
      <c r="E6" s="89" t="str">
        <f>IF(D6="","",IF($C$18="","",IF(TRIM(LOWER(D6))=TRIM(LOWER($C$18)),"Yes","")))</f>
        <v/>
      </c>
      <c r="F6" s="90" t="s">
        <v>112</v>
      </c>
      <c r="G6" s="91" t="str">
        <f>IF(F6="","",IF($C$18="","",IF(TRIM(LOWER(F6))=TRIM(LOWER($C$18)),"Yes","")))</f>
        <v/>
      </c>
      <c r="H6" s="92" t="s">
        <v>97</v>
      </c>
      <c r="I6" s="89" t="str">
        <f>IF(H6="","",IF($C$18="","",IF(TRIM(LOWER(H6))=TRIM(LOWER($C$18)),"Yes","")))</f>
        <v/>
      </c>
    </row>
    <row r="7" ht="24.0" customHeight="1">
      <c r="A7" s="1"/>
      <c r="B7" s="86" t="s">
        <v>229</v>
      </c>
      <c r="C7" s="87">
        <v>12.0</v>
      </c>
      <c r="D7" s="88" t="s">
        <v>102</v>
      </c>
      <c r="E7" s="89" t="str">
        <f>IF(D7="","",IF($C$19="","",IF(TRIM(LOWER(D7))=TRIM(LOWER($C$19)),"Yes","")))</f>
        <v/>
      </c>
      <c r="F7" s="90" t="s">
        <v>97</v>
      </c>
      <c r="G7" s="91" t="str">
        <f>IF(F7="","",IF($C$19="","",IF(TRIM(LOWER(F7))=TRIM(LOWER($C$19)),"Yes","")))</f>
        <v/>
      </c>
      <c r="H7" s="92" t="s">
        <v>102</v>
      </c>
      <c r="I7" s="89" t="str">
        <f>IF(H7="","",IF($C$19="","",IF(TRIM(LOWER(H7))=TRIM(LOWER($C$19)),"Yes","")))</f>
        <v/>
      </c>
    </row>
    <row r="8" ht="24.0" customHeight="1">
      <c r="A8" s="1"/>
      <c r="B8" s="86" t="s">
        <v>230</v>
      </c>
      <c r="C8" s="87">
        <v>8.0</v>
      </c>
      <c r="D8" s="88" t="s">
        <v>117</v>
      </c>
      <c r="E8" s="89" t="str">
        <f>IF(D8="","",IF($C$20="","",IF(TRIM(LOWER(D8))=TRIM(LOWER($C$20)),"Yes","")))</f>
        <v/>
      </c>
      <c r="F8" s="90" t="s">
        <v>104</v>
      </c>
      <c r="G8" s="91" t="str">
        <f>IF(F8="","",IF($C$20="","",IF(TRIM(LOWER(F8))=TRIM(LOWER($C$20)),"Yes","")))</f>
        <v/>
      </c>
      <c r="H8" s="92" t="s">
        <v>112</v>
      </c>
      <c r="I8" s="89" t="str">
        <f>IF(H8="","",IF($C$20="","",IF(TRIM(LOWER(H8))=TRIM(LOWER($C$20)),"Yes","")))</f>
        <v/>
      </c>
    </row>
    <row r="9" ht="24.0" customHeight="1">
      <c r="A9" s="1"/>
      <c r="B9" s="86" t="s">
        <v>231</v>
      </c>
      <c r="C9" s="87">
        <v>15.0</v>
      </c>
      <c r="D9" s="88" t="s">
        <v>232</v>
      </c>
      <c r="E9" s="89" t="str">
        <f>IF(D9="","",IF($C$21="","",IF(TRIM(LOWER(D9))=TRIM(LOWER($C$21)),"Yes","")))</f>
        <v/>
      </c>
      <c r="F9" s="90" t="s">
        <v>233</v>
      </c>
      <c r="G9" s="91" t="str">
        <f>IF(F9="","",IF($C$21="","",IF(TRIM(LOWER(F9))=TRIM(LOWER($C$21)),"Yes","")))</f>
        <v/>
      </c>
      <c r="H9" s="92" t="s">
        <v>234</v>
      </c>
      <c r="I9" s="89" t="str">
        <f>IF(H9="","",IF($C$21="","",IF(TRIM(LOWER(H9))=TRIM(LOWER($C$21)),"Yes","")))</f>
        <v/>
      </c>
    </row>
    <row r="10" ht="24.0" customHeight="1">
      <c r="A10" s="1"/>
      <c r="B10" s="86" t="s">
        <v>235</v>
      </c>
      <c r="C10" s="87">
        <v>10.0</v>
      </c>
      <c r="D10" s="88" t="s">
        <v>236</v>
      </c>
      <c r="E10" s="89" t="str">
        <f>IF(D10="","",IF($C$22="","",IF(TRIM(LOWER(D10))=TRIM(LOWER($C$22)),"Yes","")))</f>
        <v/>
      </c>
      <c r="F10" s="90" t="s">
        <v>237</v>
      </c>
      <c r="G10" s="91" t="str">
        <f>IF(F10="","",IF($C$22="","",IF(TRIM(LOWER(F10))=TRIM(LOWER($C$22)),"Yes","")))</f>
        <v/>
      </c>
      <c r="H10" s="92" t="s">
        <v>238</v>
      </c>
      <c r="I10" s="89" t="str">
        <f>IF(H10="","",IF($C$22="","",IF(TRIM(LOWER(H10))=TRIM(LOWER($C$22)),"Yes","")))</f>
        <v/>
      </c>
    </row>
    <row r="11" ht="24.0" customHeight="1">
      <c r="A11" s="1"/>
      <c r="B11" s="86" t="s">
        <v>239</v>
      </c>
      <c r="C11" s="87">
        <v>10.0</v>
      </c>
      <c r="D11" s="88" t="s">
        <v>73</v>
      </c>
      <c r="E11" s="89" t="str">
        <f>IF(D11="","",IF($C$23="","",IF(TRIM(LOWER(D11))=TRIM(LOWER($C$23)),"Yes","")))</f>
        <v/>
      </c>
      <c r="F11" s="90" t="s">
        <v>104</v>
      </c>
      <c r="G11" s="91" t="str">
        <f>IF(F11="","",IF($C$23="","",IF(TRIM(LOWER(F11))=TRIM(LOWER($C$23)),"Yes","")))</f>
        <v/>
      </c>
      <c r="H11" s="92" t="s">
        <v>104</v>
      </c>
      <c r="I11" s="89" t="str">
        <f>IF(H11="","",IF($C$23="","",IF(TRIM(LOWER(H11))=TRIM(LOWER($C$23)),"Yes","")))</f>
        <v/>
      </c>
    </row>
    <row r="12" ht="24.0" customHeight="1">
      <c r="A12" s="1"/>
      <c r="B12" s="86" t="s">
        <v>240</v>
      </c>
      <c r="C12" s="87">
        <v>5.0</v>
      </c>
      <c r="D12" s="88" t="s">
        <v>241</v>
      </c>
      <c r="E12" s="89" t="str">
        <f>IF(D12="","",IF($C$24="","",IF(TRIM(LOWER(D12))=TRIM(LOWER($C$24)),"Yes","")))</f>
        <v/>
      </c>
      <c r="F12" s="90" t="s">
        <v>241</v>
      </c>
      <c r="G12" s="91" t="str">
        <f>IF(F12="","",IF($C$24="","",IF(TRIM(LOWER(F12))=TRIM(LOWER($C$24)),"Yes","")))</f>
        <v/>
      </c>
      <c r="H12" s="92" t="s">
        <v>241</v>
      </c>
      <c r="I12" s="89" t="str">
        <f>IF(H12="","",IF($C$24="","",IF(TRIM(LOWER(H12))=TRIM(LOWER($C$24)),"Yes","")))</f>
        <v/>
      </c>
    </row>
    <row r="13">
      <c r="A13" s="1"/>
      <c r="B13" s="1"/>
      <c r="C13" s="1"/>
      <c r="D13" s="1"/>
      <c r="E13" s="1"/>
      <c r="F13" s="1"/>
      <c r="G13" s="1"/>
      <c r="H13" s="1"/>
      <c r="I13" s="1"/>
    </row>
    <row r="14" ht="25.5" customHeight="1">
      <c r="A14" s="1"/>
      <c r="B14" s="93" t="s">
        <v>242</v>
      </c>
      <c r="C14" s="1"/>
      <c r="D14" s="94">
        <f>SUMIF(E6:E12,"Yes",C6:C12)</f>
        <v>0</v>
      </c>
      <c r="E14" s="16"/>
      <c r="F14" s="95">
        <f>SUMIF(G6:G12,"Yes",C6:C12)</f>
        <v>0</v>
      </c>
      <c r="G14" s="16"/>
      <c r="H14" s="96">
        <f>SUMIF(I6:I12,"Yes",C6:C12)</f>
        <v>0</v>
      </c>
      <c r="I14" s="16"/>
    </row>
    <row r="15">
      <c r="A15" s="1"/>
      <c r="B15" s="1"/>
      <c r="C15" s="1"/>
      <c r="D15" s="1"/>
      <c r="E15" s="1"/>
      <c r="F15" s="1"/>
      <c r="G15" s="1"/>
      <c r="H15" s="1"/>
      <c r="I15" s="1"/>
    </row>
    <row r="16">
      <c r="A16" s="1"/>
      <c r="B16" s="1"/>
      <c r="C16" s="1"/>
      <c r="D16" s="1"/>
      <c r="E16" s="1"/>
      <c r="F16" s="1"/>
      <c r="G16" s="1"/>
      <c r="H16" s="1"/>
      <c r="I16" s="1"/>
    </row>
    <row r="17">
      <c r="A17" s="1"/>
      <c r="B17" s="97" t="s">
        <v>243</v>
      </c>
      <c r="C17" s="97" t="s">
        <v>244</v>
      </c>
      <c r="D17" s="1"/>
      <c r="E17" s="1"/>
      <c r="F17" s="1"/>
      <c r="G17" s="1"/>
      <c r="H17" s="1"/>
      <c r="I17" s="1"/>
    </row>
    <row r="18">
      <c r="A18" s="1"/>
      <c r="B18" s="97" t="s">
        <v>228</v>
      </c>
      <c r="C18" s="97" t="str">
        <f>IF(Knockout!H35="","",IF(Knockout!H35&gt;Knockout!I35,Knockout!E35,IF(Knockout!I35&gt;Knockout!H35,Knockout!F35,"TBD")))</f>
        <v/>
      </c>
      <c r="D18" s="1"/>
      <c r="E18" s="1"/>
      <c r="F18" s="1"/>
      <c r="G18" s="1"/>
      <c r="H18" s="1"/>
      <c r="I18" s="1"/>
    </row>
    <row r="19">
      <c r="A19" s="1"/>
      <c r="B19" s="97" t="s">
        <v>229</v>
      </c>
      <c r="C19" s="1" t="str">
        <f>IF(Knockout!H35="","",IF(Knockout!H35&gt;Knockout!I35,Knockout!F35,IF(Knockout!I35&gt;Knockout!H35,Knockout!E35,"TBD")))</f>
        <v/>
      </c>
      <c r="D19" s="1"/>
      <c r="E19" s="1"/>
      <c r="F19" s="1"/>
      <c r="G19" s="1"/>
      <c r="H19" s="1"/>
      <c r="I19" s="1"/>
    </row>
    <row r="20">
      <c r="A20" s="1"/>
      <c r="B20" s="97" t="s">
        <v>230</v>
      </c>
      <c r="C20" s="1" t="str">
        <f>IF(Knockout!H34="","",IF(Knockout!H34&gt;Knockout!I34,Knockout!E34,IF(Knockout!I34&gt;Knockout!H34,Knockout!F34,"TBD")))</f>
        <v/>
      </c>
      <c r="D20" s="1"/>
      <c r="E20" s="1"/>
      <c r="F20" s="1"/>
      <c r="G20" s="1"/>
      <c r="H20" s="1"/>
      <c r="I20" s="1"/>
    </row>
    <row r="21" ht="15.75" customHeight="1">
      <c r="A21" s="1"/>
      <c r="B21" s="97" t="s">
        <v>231</v>
      </c>
      <c r="C21" s="1"/>
      <c r="D21" s="97" t="s">
        <v>245</v>
      </c>
      <c r="E21" s="1"/>
      <c r="F21" s="1"/>
      <c r="G21" s="1"/>
      <c r="H21" s="1"/>
      <c r="I21" s="1"/>
    </row>
    <row r="22" ht="15.75" customHeight="1">
      <c r="A22" s="1"/>
      <c r="B22" s="97" t="s">
        <v>235</v>
      </c>
      <c r="C22" s="1"/>
      <c r="D22" s="97" t="s">
        <v>245</v>
      </c>
      <c r="E22" s="1"/>
      <c r="F22" s="1"/>
      <c r="G22" s="1"/>
      <c r="H22" s="1"/>
      <c r="I22" s="1"/>
    </row>
    <row r="23" ht="15.75" customHeight="1">
      <c r="A23" s="1"/>
      <c r="B23" s="97" t="s">
        <v>246</v>
      </c>
      <c r="C23" s="1"/>
      <c r="D23" s="97" t="s">
        <v>247</v>
      </c>
      <c r="E23" s="1"/>
      <c r="F23" s="1"/>
      <c r="G23" s="1"/>
      <c r="H23" s="1"/>
      <c r="I23" s="1"/>
    </row>
    <row r="24" ht="15.75" customHeight="1">
      <c r="A24" s="1"/>
      <c r="B24" s="97" t="s">
        <v>248</v>
      </c>
      <c r="C24" s="1" t="str">
        <f>IF(COUNTIF(Knockout!E20:F27,"United States")&gt;0,"Yes",IF(COUNTIF(Knockout!E4:F19,"United States")&gt;0,"No",""))</f>
        <v/>
      </c>
      <c r="D24" s="1"/>
      <c r="E24" s="1"/>
      <c r="F24" s="1"/>
      <c r="G24" s="1"/>
      <c r="H24" s="1"/>
      <c r="I24" s="1"/>
    </row>
    <row r="25" ht="15.75" customHeight="1">
      <c r="A25" s="1"/>
      <c r="B25" s="1"/>
      <c r="C25" s="1"/>
      <c r="D25" s="1"/>
      <c r="E25" s="1"/>
      <c r="F25" s="1"/>
      <c r="G25" s="1"/>
      <c r="H25" s="1"/>
      <c r="I25" s="1"/>
    </row>
    <row r="26" ht="15.75" customHeight="1">
      <c r="A26" s="1"/>
      <c r="B26" s="1"/>
      <c r="C26" s="1"/>
      <c r="D26" s="1"/>
      <c r="E26" s="1"/>
      <c r="F26" s="1"/>
      <c r="G26" s="1"/>
      <c r="H26" s="1"/>
      <c r="I26" s="1"/>
    </row>
    <row r="27" ht="15.75" customHeight="1">
      <c r="A27" s="1"/>
      <c r="B27" s="1"/>
      <c r="C27" s="1"/>
      <c r="D27" s="1"/>
      <c r="E27" s="1"/>
      <c r="F27" s="1"/>
      <c r="G27" s="1"/>
      <c r="H27" s="1"/>
      <c r="I27" s="1"/>
    </row>
    <row r="28" ht="15.75" customHeight="1">
      <c r="A28" s="1"/>
      <c r="B28" s="1"/>
      <c r="C28" s="1"/>
      <c r="D28" s="1"/>
      <c r="E28" s="1"/>
      <c r="F28" s="1"/>
      <c r="G28" s="1"/>
      <c r="H28" s="1"/>
      <c r="I28" s="1"/>
    </row>
    <row r="29" ht="15.75" customHeight="1">
      <c r="A29" s="1"/>
      <c r="B29" s="1"/>
      <c r="C29" s="1"/>
      <c r="D29" s="1"/>
      <c r="E29" s="1"/>
      <c r="F29" s="1"/>
      <c r="G29" s="1"/>
      <c r="H29" s="1"/>
      <c r="I29" s="1"/>
    </row>
    <row r="30" ht="15.75" customHeight="1">
      <c r="A30" s="1"/>
      <c r="B30" s="1"/>
      <c r="C30" s="1"/>
      <c r="D30" s="1"/>
      <c r="E30" s="1"/>
      <c r="F30" s="1"/>
      <c r="G30" s="1"/>
      <c r="H30" s="1"/>
      <c r="I30" s="1"/>
    </row>
    <row r="31" ht="15.75" customHeight="1">
      <c r="A31" s="1"/>
      <c r="B31" s="1"/>
      <c r="C31" s="1"/>
      <c r="D31" s="1"/>
      <c r="E31" s="1"/>
      <c r="F31" s="1"/>
      <c r="G31" s="1"/>
      <c r="H31" s="1"/>
      <c r="I31" s="1"/>
    </row>
    <row r="32" ht="15.75" customHeight="1">
      <c r="A32" s="1"/>
      <c r="B32" s="1"/>
      <c r="C32" s="1"/>
      <c r="D32" s="1"/>
      <c r="E32" s="1"/>
      <c r="F32" s="1"/>
      <c r="G32" s="1"/>
      <c r="H32" s="1"/>
      <c r="I32" s="1"/>
    </row>
    <row r="33" ht="15.75" customHeight="1">
      <c r="A33" s="1"/>
      <c r="B33" s="1"/>
      <c r="C33" s="1"/>
      <c r="D33" s="1"/>
      <c r="E33" s="1"/>
      <c r="F33" s="1"/>
      <c r="G33" s="1"/>
      <c r="H33" s="1"/>
      <c r="I33" s="1"/>
    </row>
    <row r="34" ht="15.75" customHeight="1">
      <c r="A34" s="1"/>
      <c r="B34" s="1"/>
      <c r="C34" s="1"/>
      <c r="D34" s="1"/>
      <c r="E34" s="1"/>
      <c r="F34" s="1"/>
      <c r="G34" s="1"/>
      <c r="H34" s="1"/>
      <c r="I34" s="1"/>
    </row>
    <row r="35" ht="15.75" customHeight="1">
      <c r="A35" s="1"/>
      <c r="B35" s="1"/>
      <c r="C35" s="1"/>
      <c r="D35" s="1"/>
      <c r="E35" s="1"/>
      <c r="F35" s="1"/>
      <c r="G35" s="1"/>
      <c r="H35" s="1"/>
      <c r="I35" s="1"/>
    </row>
    <row r="36" ht="15.75" customHeight="1">
      <c r="A36" s="1"/>
      <c r="B36" s="1"/>
      <c r="C36" s="1"/>
      <c r="D36" s="1"/>
      <c r="E36" s="1"/>
      <c r="F36" s="1"/>
      <c r="G36" s="1"/>
      <c r="H36" s="1"/>
      <c r="I36" s="1"/>
    </row>
    <row r="37" ht="15.75" customHeight="1">
      <c r="A37" s="1"/>
      <c r="B37" s="1"/>
      <c r="C37" s="1"/>
      <c r="D37" s="1"/>
      <c r="E37" s="1"/>
      <c r="F37" s="1"/>
      <c r="G37" s="1"/>
      <c r="H37" s="1"/>
      <c r="I37" s="1"/>
    </row>
    <row r="38" ht="15.75" customHeight="1">
      <c r="A38" s="1"/>
      <c r="B38" s="1"/>
      <c r="C38" s="1"/>
      <c r="D38" s="1"/>
      <c r="E38" s="1"/>
      <c r="F38" s="1"/>
      <c r="G38" s="1"/>
      <c r="H38" s="1"/>
      <c r="I38" s="1"/>
    </row>
    <row r="39" ht="15.75" customHeight="1">
      <c r="A39" s="1"/>
      <c r="B39" s="1"/>
      <c r="C39" s="1"/>
      <c r="D39" s="1"/>
      <c r="E39" s="1"/>
      <c r="F39" s="1"/>
      <c r="G39" s="1"/>
      <c r="H39" s="1"/>
      <c r="I39" s="1"/>
    </row>
    <row r="40" ht="15.75" customHeight="1">
      <c r="A40" s="1"/>
      <c r="B40" s="1"/>
      <c r="C40" s="1"/>
      <c r="D40" s="1"/>
      <c r="E40" s="1"/>
      <c r="F40" s="1"/>
      <c r="G40" s="1"/>
      <c r="H40" s="1"/>
      <c r="I40" s="1"/>
    </row>
    <row r="41" ht="15.75" customHeight="1">
      <c r="A41" s="1"/>
      <c r="B41" s="1"/>
      <c r="C41" s="1"/>
      <c r="D41" s="1"/>
      <c r="E41" s="1"/>
      <c r="F41" s="1"/>
      <c r="G41" s="1"/>
      <c r="H41" s="1"/>
      <c r="I41" s="1"/>
    </row>
    <row r="42" ht="15.75" customHeight="1">
      <c r="A42" s="1"/>
      <c r="B42" s="1"/>
      <c r="C42" s="1"/>
      <c r="D42" s="1"/>
      <c r="E42" s="1"/>
      <c r="F42" s="1"/>
      <c r="G42" s="1"/>
      <c r="H42" s="1"/>
      <c r="I42" s="1"/>
    </row>
    <row r="43" ht="15.75" customHeight="1">
      <c r="A43" s="1"/>
      <c r="B43" s="1"/>
      <c r="C43" s="1"/>
      <c r="D43" s="1"/>
      <c r="E43" s="1"/>
      <c r="F43" s="1"/>
      <c r="G43" s="1"/>
      <c r="H43" s="1"/>
      <c r="I43" s="1"/>
    </row>
    <row r="44" ht="15.75" customHeight="1">
      <c r="A44" s="1"/>
      <c r="B44" s="1"/>
      <c r="C44" s="1"/>
      <c r="D44" s="1"/>
      <c r="E44" s="1"/>
      <c r="F44" s="1"/>
      <c r="G44" s="1"/>
      <c r="H44" s="1"/>
      <c r="I44" s="1"/>
    </row>
    <row r="45" ht="15.75" customHeight="1">
      <c r="A45" s="1"/>
      <c r="B45" s="1"/>
      <c r="C45" s="1"/>
      <c r="D45" s="1"/>
      <c r="E45" s="1"/>
      <c r="F45" s="1"/>
      <c r="G45" s="1"/>
      <c r="H45" s="1"/>
      <c r="I45" s="1"/>
    </row>
    <row r="46" ht="15.75" customHeight="1">
      <c r="A46" s="1"/>
      <c r="B46" s="1"/>
      <c r="C46" s="1"/>
      <c r="D46" s="1"/>
      <c r="E46" s="1"/>
      <c r="F46" s="1"/>
      <c r="G46" s="1"/>
      <c r="H46" s="1"/>
      <c r="I46" s="1"/>
    </row>
    <row r="47" ht="15.75" customHeight="1">
      <c r="A47" s="1"/>
      <c r="B47" s="1"/>
      <c r="C47" s="1"/>
      <c r="D47" s="1"/>
      <c r="E47" s="1"/>
      <c r="F47" s="1"/>
      <c r="G47" s="1"/>
      <c r="H47" s="1"/>
      <c r="I47" s="1"/>
    </row>
    <row r="48" ht="15.75" customHeight="1">
      <c r="A48" s="1"/>
      <c r="B48" s="1"/>
      <c r="C48" s="1"/>
      <c r="D48" s="1"/>
      <c r="E48" s="1"/>
      <c r="F48" s="1"/>
      <c r="G48" s="1"/>
      <c r="H48" s="1"/>
      <c r="I48" s="1"/>
    </row>
    <row r="49" ht="15.75" customHeight="1">
      <c r="A49" s="1"/>
      <c r="B49" s="1"/>
      <c r="C49" s="1"/>
      <c r="D49" s="1"/>
      <c r="E49" s="1"/>
      <c r="F49" s="1"/>
      <c r="G49" s="1"/>
      <c r="H49" s="1"/>
      <c r="I49" s="1"/>
    </row>
    <row r="50" ht="15.75" customHeight="1">
      <c r="A50" s="1"/>
      <c r="B50" s="1"/>
      <c r="C50" s="1"/>
      <c r="D50" s="1"/>
      <c r="E50" s="1"/>
      <c r="F50" s="1"/>
      <c r="G50" s="1"/>
      <c r="H50" s="1"/>
      <c r="I50" s="1"/>
    </row>
    <row r="51" ht="15.75" customHeight="1">
      <c r="A51" s="1"/>
      <c r="B51" s="1"/>
      <c r="C51" s="1"/>
      <c r="D51" s="1"/>
      <c r="E51" s="1"/>
      <c r="F51" s="1"/>
      <c r="G51" s="1"/>
      <c r="H51" s="1"/>
      <c r="I51" s="1"/>
    </row>
    <row r="52" ht="15.75" customHeight="1">
      <c r="A52" s="1"/>
      <c r="B52" s="1"/>
      <c r="C52" s="1"/>
      <c r="D52" s="1"/>
      <c r="E52" s="1"/>
      <c r="F52" s="1"/>
      <c r="G52" s="1"/>
      <c r="H52" s="1"/>
      <c r="I52" s="1"/>
    </row>
    <row r="53" ht="15.75" customHeight="1">
      <c r="A53" s="1"/>
      <c r="B53" s="1"/>
      <c r="C53" s="1"/>
      <c r="D53" s="1"/>
      <c r="E53" s="1"/>
      <c r="F53" s="1"/>
      <c r="G53" s="1"/>
      <c r="H53" s="1"/>
      <c r="I53" s="1"/>
    </row>
    <row r="54" ht="15.75" customHeight="1">
      <c r="A54" s="1"/>
      <c r="B54" s="1"/>
      <c r="C54" s="1"/>
      <c r="D54" s="1"/>
      <c r="E54" s="1"/>
      <c r="F54" s="1"/>
      <c r="G54" s="1"/>
      <c r="H54" s="1"/>
      <c r="I54" s="1"/>
    </row>
    <row r="55" ht="15.75" customHeight="1">
      <c r="A55" s="1"/>
      <c r="B55" s="1"/>
      <c r="C55" s="1"/>
      <c r="D55" s="1"/>
      <c r="E55" s="1"/>
      <c r="F55" s="1"/>
      <c r="G55" s="1"/>
      <c r="H55" s="1"/>
      <c r="I55" s="1"/>
    </row>
    <row r="56" ht="15.75" customHeight="1">
      <c r="A56" s="1"/>
      <c r="B56" s="1"/>
      <c r="C56" s="1"/>
      <c r="D56" s="1"/>
      <c r="E56" s="1"/>
      <c r="F56" s="1"/>
      <c r="G56" s="1"/>
      <c r="H56" s="1"/>
      <c r="I56" s="1"/>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
      <c r="C60" s="1"/>
      <c r="D60" s="1"/>
      <c r="E60" s="1"/>
      <c r="F60" s="1"/>
      <c r="G60" s="1"/>
      <c r="H60" s="1"/>
      <c r="I60" s="1"/>
    </row>
    <row r="61" ht="15.75" customHeight="1">
      <c r="A61" s="1"/>
      <c r="B61" s="1"/>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5">
    <mergeCell ref="B2:I2"/>
    <mergeCell ref="B3:I3"/>
    <mergeCell ref="D14:E14"/>
    <mergeCell ref="F14:G14"/>
    <mergeCell ref="H14:I14"/>
  </mergeCells>
  <dataValidations>
    <dataValidation type="list" allowBlank="1" sqref="E6:E12 G6:G12 I6:I12">
      <formula1>"Yes,No"</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7.0"/>
    <col customWidth="1" min="3" max="3" width="15.0"/>
    <col customWidth="1" min="4" max="4" width="12.0"/>
    <col customWidth="1" min="5" max="6" width="11.0"/>
    <col customWidth="1" min="7" max="7" width="10.0"/>
    <col customWidth="1" min="8" max="8" width="11.0"/>
    <col customWidth="1" min="9" max="9" width="13.0"/>
    <col customWidth="1" min="10" max="26" width="8.71"/>
  </cols>
  <sheetData>
    <row r="2" ht="33.75" customHeight="1">
      <c r="B2" s="98" t="s">
        <v>249</v>
      </c>
      <c r="C2" s="12"/>
      <c r="D2" s="12"/>
      <c r="E2" s="12"/>
      <c r="F2" s="12"/>
      <c r="G2" s="12"/>
      <c r="H2" s="12"/>
      <c r="I2" s="3"/>
    </row>
    <row r="3" ht="19.5" customHeight="1">
      <c r="B3" s="99" t="s">
        <v>250</v>
      </c>
      <c r="C3" s="12"/>
      <c r="D3" s="12"/>
      <c r="E3" s="12"/>
      <c r="F3" s="12"/>
      <c r="G3" s="12"/>
      <c r="H3" s="12"/>
      <c r="I3" s="3"/>
    </row>
    <row r="5" ht="19.5" customHeight="1">
      <c r="B5" s="85" t="s">
        <v>251</v>
      </c>
      <c r="C5" s="85" t="s">
        <v>252</v>
      </c>
      <c r="D5" s="85" t="s">
        <v>253</v>
      </c>
      <c r="E5" s="85" t="s">
        <v>254</v>
      </c>
      <c r="F5" s="85" t="s">
        <v>255</v>
      </c>
      <c r="G5" s="85" t="s">
        <v>256</v>
      </c>
      <c r="H5" s="85" t="s">
        <v>257</v>
      </c>
      <c r="I5" s="85" t="s">
        <v>258</v>
      </c>
    </row>
    <row r="6" ht="25.5" customHeight="1">
      <c r="B6" s="100">
        <f t="shared" ref="B6:B8" si="1">RANK(D6,$D$6:$D$8)</f>
        <v>2</v>
      </c>
      <c r="C6" s="101" t="s">
        <v>259</v>
      </c>
      <c r="D6" s="102">
        <f t="shared" ref="D6:D8" si="2">E6+F6+G6</f>
        <v>92</v>
      </c>
      <c r="E6" s="103">
        <f>SUM('Group Stage'!M4:M75)</f>
        <v>92</v>
      </c>
      <c r="F6" s="103">
        <f>SUM(Knockout!M4:M35)</f>
        <v>0</v>
      </c>
      <c r="G6" s="103">
        <f>'Bonus Calls'!D14</f>
        <v>0</v>
      </c>
      <c r="H6" s="103">
        <f>COUNTIF('Group Stage'!M4:M75,5)+COUNTIF(Knockout!M4:M35,5)</f>
        <v>3</v>
      </c>
      <c r="I6" s="104" t="str">
        <f>COUNTIF('Group Stage'!L4:L75,"J")+COUNTIF(Knockout!L4:L35,"J")&amp;" / 8"</f>
        <v>4 / 8</v>
      </c>
    </row>
    <row r="7" ht="25.5" customHeight="1">
      <c r="B7" s="100">
        <f t="shared" si="1"/>
        <v>1</v>
      </c>
      <c r="C7" s="105" t="s">
        <v>260</v>
      </c>
      <c r="D7" s="102">
        <f t="shared" si="2"/>
        <v>103</v>
      </c>
      <c r="E7" s="103">
        <f>SUM('Group Stage'!Q4:Q75)</f>
        <v>103</v>
      </c>
      <c r="F7" s="103">
        <f>SUM(Knockout!Q4:Q35)</f>
        <v>0</v>
      </c>
      <c r="G7" s="103">
        <f>'Bonus Calls'!F14</f>
        <v>0</v>
      </c>
      <c r="H7" s="103">
        <f>COUNTIF('Group Stage'!Q4:Q75,5)+COUNTIF(Knockout!Q4:Q35,5)</f>
        <v>5</v>
      </c>
      <c r="I7" s="104" t="str">
        <f>COUNTIF('Group Stage'!P4:P75,"J")+COUNTIF(Knockout!P4:P35,"J")&amp;" / 8"</f>
        <v>5 / 8</v>
      </c>
    </row>
    <row r="8" ht="25.5" customHeight="1">
      <c r="B8" s="100">
        <f t="shared" si="1"/>
        <v>3</v>
      </c>
      <c r="C8" s="106" t="s">
        <v>261</v>
      </c>
      <c r="D8" s="102">
        <f t="shared" si="2"/>
        <v>78</v>
      </c>
      <c r="E8" s="103">
        <f>SUM('Group Stage'!U4:U75)</f>
        <v>78</v>
      </c>
      <c r="F8" s="103">
        <f>SUM(Knockout!U4:U35)</f>
        <v>0</v>
      </c>
      <c r="G8" s="103">
        <f>'Bonus Calls'!H14</f>
        <v>0</v>
      </c>
      <c r="H8" s="103">
        <f>COUNTIF('Group Stage'!U4:U75,5)+COUNTIF(Knockout!U4:U35,5)</f>
        <v>3</v>
      </c>
      <c r="I8" s="104" t="str">
        <f>COUNTIF('Group Stage'!T4:T75,"J")+COUNTIF(Knockout!T4:T35,"J")&amp;" / 8"</f>
        <v>2 / 8</v>
      </c>
    </row>
    <row r="10" ht="30.0" customHeight="1">
      <c r="B10" s="107" t="str">
        <f t="array" ref="B10">IF(SUM(D6:D8)=0,"Lock in your Bonus Calls and start predicting!","👑 Leading: "&amp;INDEX(C6:C8,MATCH(MAX(D6:D8),D6:D8,0))&amp;"  —  "&amp;MAX(D6:D8)&amp;" pts")</f>
        <v>👑 Leading: Siddhesh  —  103 pts</v>
      </c>
      <c r="C10" s="12"/>
      <c r="D10" s="12"/>
      <c r="E10" s="12"/>
      <c r="F10" s="12"/>
      <c r="G10" s="12"/>
      <c r="H10" s="12"/>
      <c r="I10" s="3"/>
    </row>
    <row r="12">
      <c r="B12" s="108" t="s">
        <v>262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I2"/>
    <mergeCell ref="B3:I3"/>
    <mergeCell ref="B10:I10"/>
    <mergeCell ref="B12:I12"/>
  </mergeCells>
  <printOptions/>
  <pageMargins bottom="1.0" footer="0.0" header="0.0" left="0.75" right="0.75" top="1.0"/>
  <pageSetup paperSize="9" orientation="portrait"/>
  <drawing r:id="rId1"/>
</worksheet>
</file>